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51e554cef1db56/Escritorio/"/>
    </mc:Choice>
  </mc:AlternateContent>
  <xr:revisionPtr revIDLastSave="1" documentId="8_{39173313-1E1E-4C12-8EB1-A70AB3F535F7}" xr6:coauthVersionLast="47" xr6:coauthVersionMax="47" xr10:uidLastSave="{73C407D9-0D84-4086-8CA8-D59A9DFE67C9}"/>
  <bookViews>
    <workbookView xWindow="-110" yWindow="-110" windowWidth="19420" windowHeight="10300" xr2:uid="{D74BFF45-890A-4193-B4E7-6175F933DD6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2" l="1"/>
  <c r="O2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O31" i="2" s="1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O48" i="2" s="1"/>
  <c r="G49" i="2"/>
  <c r="G50" i="2"/>
  <c r="O50" i="2" s="1"/>
  <c r="G51" i="2"/>
  <c r="G52" i="2"/>
  <c r="G53" i="2"/>
  <c r="G54" i="2"/>
  <c r="G55" i="2"/>
  <c r="G56" i="2"/>
  <c r="O56" i="2" s="1"/>
  <c r="G57" i="2"/>
  <c r="G58" i="2"/>
  <c r="G59" i="2"/>
  <c r="G60" i="2"/>
  <c r="G61" i="2"/>
  <c r="G62" i="2"/>
  <c r="G63" i="2"/>
  <c r="G64" i="2"/>
  <c r="G65" i="2"/>
  <c r="G66" i="2"/>
  <c r="O66" i="2" s="1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O82" i="2" s="1"/>
  <c r="G83" i="2"/>
  <c r="G84" i="2"/>
  <c r="G85" i="2"/>
  <c r="G86" i="2"/>
  <c r="G87" i="2"/>
  <c r="O87" i="2" s="1"/>
  <c r="Q87" i="2" s="1"/>
  <c r="R87" i="2" s="1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O103" i="2" s="1"/>
  <c r="Q103" i="2" s="1"/>
  <c r="R103" i="2" s="1"/>
  <c r="G104" i="2"/>
  <c r="O104" i="2" s="1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O118" i="2" s="1"/>
  <c r="G119" i="2"/>
  <c r="G120" i="2"/>
  <c r="O120" i="2" s="1"/>
  <c r="G121" i="2"/>
  <c r="G122" i="2"/>
  <c r="O122" i="2" s="1"/>
  <c r="G123" i="2"/>
  <c r="G124" i="2"/>
  <c r="N94" i="2"/>
  <c r="N15" i="2"/>
  <c r="N16" i="2"/>
  <c r="N17" i="2"/>
  <c r="N18" i="2"/>
  <c r="N19" i="2"/>
  <c r="N20" i="2"/>
  <c r="N21" i="2"/>
  <c r="N22" i="2"/>
  <c r="N23" i="2"/>
  <c r="O23" i="2" s="1"/>
  <c r="N24" i="2"/>
  <c r="N25" i="2"/>
  <c r="O25" i="2" s="1"/>
  <c r="N26" i="2"/>
  <c r="T16" i="2"/>
  <c r="V16" i="2" s="1"/>
  <c r="P16" i="2"/>
  <c r="E16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N3" i="2"/>
  <c r="N4" i="2"/>
  <c r="N5" i="2"/>
  <c r="N6" i="2"/>
  <c r="N7" i="2"/>
  <c r="N8" i="2"/>
  <c r="N9" i="2"/>
  <c r="N10" i="2"/>
  <c r="N11" i="2"/>
  <c r="N12" i="2"/>
  <c r="N13" i="2"/>
  <c r="N14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O3" i="2"/>
  <c r="O11" i="2"/>
  <c r="O13" i="2"/>
  <c r="O15" i="2"/>
  <c r="O19" i="2"/>
  <c r="O33" i="2"/>
  <c r="O36" i="2"/>
  <c r="O37" i="2"/>
  <c r="Q37" i="2" s="1"/>
  <c r="R37" i="2" s="1"/>
  <c r="O38" i="2"/>
  <c r="O39" i="2"/>
  <c r="O49" i="2"/>
  <c r="O51" i="2"/>
  <c r="O52" i="2"/>
  <c r="O54" i="2"/>
  <c r="O57" i="2"/>
  <c r="O59" i="2"/>
  <c r="O63" i="2"/>
  <c r="O65" i="2"/>
  <c r="O69" i="2"/>
  <c r="Q69" i="2" s="1"/>
  <c r="R69" i="2" s="1"/>
  <c r="O70" i="2"/>
  <c r="O79" i="2"/>
  <c r="O83" i="2"/>
  <c r="O84" i="2"/>
  <c r="O86" i="2"/>
  <c r="O89" i="2"/>
  <c r="O91" i="2"/>
  <c r="O92" i="2"/>
  <c r="O95" i="2"/>
  <c r="Q95" i="2" s="1"/>
  <c r="R95" i="2" s="1"/>
  <c r="O97" i="2"/>
  <c r="O99" i="2"/>
  <c r="O102" i="2"/>
  <c r="O108" i="2"/>
  <c r="O109" i="2"/>
  <c r="Q109" i="2" s="1"/>
  <c r="R109" i="2" s="1"/>
  <c r="O110" i="2"/>
  <c r="O112" i="2"/>
  <c r="O115" i="2"/>
  <c r="O117" i="2"/>
  <c r="Q117" i="2" s="1"/>
  <c r="R117" i="2" s="1"/>
  <c r="O119" i="2"/>
  <c r="Q119" i="2" s="1"/>
  <c r="R119" i="2" s="1"/>
  <c r="O123" i="2"/>
  <c r="T124" i="2"/>
  <c r="V124" i="2" s="1"/>
  <c r="E124" i="2"/>
  <c r="T123" i="2"/>
  <c r="V123" i="2" s="1"/>
  <c r="E123" i="2"/>
  <c r="V122" i="2"/>
  <c r="T122" i="2"/>
  <c r="E122" i="2"/>
  <c r="E121" i="2"/>
  <c r="T121" i="2"/>
  <c r="T120" i="2"/>
  <c r="V120" i="2" s="1"/>
  <c r="E120" i="2"/>
  <c r="T119" i="2"/>
  <c r="V119" i="2" s="1"/>
  <c r="E119" i="2"/>
  <c r="T118" i="2"/>
  <c r="V118" i="2" s="1"/>
  <c r="E118" i="2"/>
  <c r="T117" i="2"/>
  <c r="E117" i="2"/>
  <c r="T116" i="2"/>
  <c r="V116" i="2" s="1"/>
  <c r="E116" i="2"/>
  <c r="T115" i="2"/>
  <c r="E115" i="2"/>
  <c r="T114" i="2"/>
  <c r="V114" i="2" s="1"/>
  <c r="E114" i="2"/>
  <c r="E112" i="2"/>
  <c r="T112" i="2"/>
  <c r="T113" i="2"/>
  <c r="V113" i="2" s="1"/>
  <c r="E113" i="2"/>
  <c r="T111" i="2"/>
  <c r="V111" i="2" s="1"/>
  <c r="E111" i="2"/>
  <c r="V110" i="2"/>
  <c r="T110" i="2"/>
  <c r="E110" i="2"/>
  <c r="E109" i="2"/>
  <c r="T108" i="2"/>
  <c r="V108" i="2" s="1"/>
  <c r="E108" i="2"/>
  <c r="T107" i="2"/>
  <c r="V107" i="2" s="1"/>
  <c r="E107" i="2"/>
  <c r="V106" i="2"/>
  <c r="T106" i="2"/>
  <c r="E106" i="2"/>
  <c r="E105" i="2"/>
  <c r="T105" i="2"/>
  <c r="T104" i="2"/>
  <c r="V104" i="2" s="1"/>
  <c r="E104" i="2"/>
  <c r="T103" i="2"/>
  <c r="V103" i="2" s="1"/>
  <c r="E103" i="2"/>
  <c r="E101" i="2"/>
  <c r="T101" i="2"/>
  <c r="T102" i="2"/>
  <c r="V102" i="2" s="1"/>
  <c r="E102" i="2"/>
  <c r="T100" i="2"/>
  <c r="V100" i="2" s="1"/>
  <c r="E100" i="2"/>
  <c r="E99" i="2"/>
  <c r="E98" i="2"/>
  <c r="T98" i="2"/>
  <c r="T97" i="2"/>
  <c r="E97" i="2"/>
  <c r="T96" i="2"/>
  <c r="V96" i="2" s="1"/>
  <c r="E96" i="2"/>
  <c r="T95" i="2"/>
  <c r="V95" i="2" s="1"/>
  <c r="E95" i="2"/>
  <c r="T94" i="2"/>
  <c r="V94" i="2" s="1"/>
  <c r="E94" i="2"/>
  <c r="T93" i="2"/>
  <c r="V93" i="2" s="1"/>
  <c r="E93" i="2"/>
  <c r="T92" i="2"/>
  <c r="V92" i="2" s="1"/>
  <c r="E92" i="2"/>
  <c r="T91" i="2"/>
  <c r="V91" i="2" s="1"/>
  <c r="E91" i="2"/>
  <c r="T90" i="2"/>
  <c r="V90" i="2" s="1"/>
  <c r="E90" i="2"/>
  <c r="T89" i="2"/>
  <c r="V89" i="2" s="1"/>
  <c r="E89" i="2"/>
  <c r="E86" i="2"/>
  <c r="T86" i="2"/>
  <c r="T88" i="2"/>
  <c r="V88" i="2" s="1"/>
  <c r="E88" i="2"/>
  <c r="T87" i="2"/>
  <c r="V87" i="2" s="1"/>
  <c r="E87" i="2"/>
  <c r="T85" i="2"/>
  <c r="V85" i="2" s="1"/>
  <c r="E85" i="2"/>
  <c r="T84" i="2"/>
  <c r="V84" i="2" s="1"/>
  <c r="E84" i="2"/>
  <c r="E82" i="2"/>
  <c r="T82" i="2"/>
  <c r="E83" i="2"/>
  <c r="T83" i="2"/>
  <c r="E81" i="2"/>
  <c r="T81" i="2"/>
  <c r="T80" i="2"/>
  <c r="V80" i="2" s="1"/>
  <c r="E80" i="2"/>
  <c r="T79" i="2"/>
  <c r="V79" i="2" s="1"/>
  <c r="E79" i="2"/>
  <c r="E78" i="2"/>
  <c r="T77" i="2"/>
  <c r="V77" i="2" s="1"/>
  <c r="E77" i="2"/>
  <c r="T76" i="2"/>
  <c r="V76" i="2" s="1"/>
  <c r="E76" i="2"/>
  <c r="T75" i="2"/>
  <c r="V75" i="2" s="1"/>
  <c r="E75" i="2"/>
  <c r="T74" i="2"/>
  <c r="V74" i="2" s="1"/>
  <c r="E74" i="2"/>
  <c r="T73" i="2"/>
  <c r="V73" i="2" s="1"/>
  <c r="E73" i="2"/>
  <c r="T72" i="2"/>
  <c r="V72" i="2" s="1"/>
  <c r="E72" i="2"/>
  <c r="T71" i="2"/>
  <c r="V71" i="2" s="1"/>
  <c r="E71" i="2"/>
  <c r="T70" i="2"/>
  <c r="V70" i="2" s="1"/>
  <c r="E70" i="2"/>
  <c r="E69" i="2"/>
  <c r="T69" i="2"/>
  <c r="T68" i="2"/>
  <c r="V68" i="2" s="1"/>
  <c r="E68" i="2"/>
  <c r="T67" i="2"/>
  <c r="V67" i="2" s="1"/>
  <c r="E67" i="2"/>
  <c r="T66" i="2"/>
  <c r="V66" i="2" s="1"/>
  <c r="E66" i="2"/>
  <c r="T65" i="2"/>
  <c r="V65" i="2" s="1"/>
  <c r="E65" i="2"/>
  <c r="T64" i="2"/>
  <c r="V64" i="2" s="1"/>
  <c r="E64" i="2"/>
  <c r="T63" i="2"/>
  <c r="V63" i="2" s="1"/>
  <c r="E63" i="2"/>
  <c r="T62" i="2"/>
  <c r="V62" i="2" s="1"/>
  <c r="E62" i="2"/>
  <c r="T61" i="2"/>
  <c r="V61" i="2" s="1"/>
  <c r="E61" i="2"/>
  <c r="T60" i="2"/>
  <c r="V60" i="2" s="1"/>
  <c r="E60" i="2"/>
  <c r="T59" i="2"/>
  <c r="V59" i="2" s="1"/>
  <c r="E59" i="2"/>
  <c r="T58" i="2"/>
  <c r="E58" i="2"/>
  <c r="T57" i="2"/>
  <c r="V57" i="2" s="1"/>
  <c r="E57" i="2"/>
  <c r="T56" i="2"/>
  <c r="V56" i="2" s="1"/>
  <c r="E56" i="2"/>
  <c r="T55" i="2"/>
  <c r="V55" i="2" s="1"/>
  <c r="E55" i="2"/>
  <c r="T54" i="2"/>
  <c r="V54" i="2" s="1"/>
  <c r="E54" i="2"/>
  <c r="T53" i="2"/>
  <c r="V53" i="2" s="1"/>
  <c r="E53" i="2"/>
  <c r="V52" i="2"/>
  <c r="T52" i="2"/>
  <c r="E52" i="2"/>
  <c r="T51" i="2"/>
  <c r="V51" i="2" s="1"/>
  <c r="E51" i="2"/>
  <c r="E50" i="2"/>
  <c r="T50" i="2"/>
  <c r="E21" i="2"/>
  <c r="T21" i="2"/>
  <c r="T49" i="2"/>
  <c r="V49" i="2" s="1"/>
  <c r="E49" i="2"/>
  <c r="T48" i="2"/>
  <c r="V48" i="2" s="1"/>
  <c r="E48" i="2"/>
  <c r="T47" i="2"/>
  <c r="V47" i="2" s="1"/>
  <c r="E47" i="2"/>
  <c r="T46" i="2"/>
  <c r="V46" i="2" s="1"/>
  <c r="E46" i="2"/>
  <c r="E45" i="2"/>
  <c r="T45" i="2"/>
  <c r="T44" i="2"/>
  <c r="V44" i="2" s="1"/>
  <c r="E44" i="2"/>
  <c r="T43" i="2"/>
  <c r="V43" i="2" s="1"/>
  <c r="E43" i="2"/>
  <c r="T42" i="2"/>
  <c r="V42" i="2" s="1"/>
  <c r="E42" i="2"/>
  <c r="T41" i="2"/>
  <c r="V41" i="2" s="1"/>
  <c r="E41" i="2"/>
  <c r="T40" i="2"/>
  <c r="V40" i="2" s="1"/>
  <c r="E40" i="2"/>
  <c r="T39" i="2"/>
  <c r="V39" i="2" s="1"/>
  <c r="E39" i="2"/>
  <c r="E37" i="2"/>
  <c r="T37" i="2"/>
  <c r="T38" i="2"/>
  <c r="V38" i="2" s="1"/>
  <c r="E38" i="2"/>
  <c r="T36" i="2"/>
  <c r="V36" i="2" s="1"/>
  <c r="E36" i="2"/>
  <c r="T35" i="2"/>
  <c r="V35" i="2" s="1"/>
  <c r="E35" i="2"/>
  <c r="T34" i="2"/>
  <c r="V34" i="2" s="1"/>
  <c r="E34" i="2"/>
  <c r="T33" i="2"/>
  <c r="V33" i="2" s="1"/>
  <c r="E33" i="2"/>
  <c r="T32" i="2"/>
  <c r="V32" i="2" s="1"/>
  <c r="E32" i="2"/>
  <c r="T31" i="2"/>
  <c r="V31" i="2" s="1"/>
  <c r="E31" i="2"/>
  <c r="T30" i="2"/>
  <c r="V30" i="2" s="1"/>
  <c r="E30" i="2"/>
  <c r="T29" i="2"/>
  <c r="V29" i="2" s="1"/>
  <c r="E29" i="2"/>
  <c r="T28" i="2"/>
  <c r="V28" i="2" s="1"/>
  <c r="E28" i="2"/>
  <c r="E27" i="2"/>
  <c r="T26" i="2"/>
  <c r="V26" i="2" s="1"/>
  <c r="E26" i="2"/>
  <c r="T24" i="2"/>
  <c r="V24" i="2" s="1"/>
  <c r="E24" i="2"/>
  <c r="T23" i="2"/>
  <c r="V23" i="2" s="1"/>
  <c r="E23" i="2"/>
  <c r="T25" i="2"/>
  <c r="V25" i="2" s="1"/>
  <c r="E25" i="2"/>
  <c r="T22" i="2"/>
  <c r="V22" i="2" s="1"/>
  <c r="E22" i="2"/>
  <c r="T20" i="2"/>
  <c r="V20" i="2" s="1"/>
  <c r="E20" i="2"/>
  <c r="T19" i="2"/>
  <c r="V19" i="2" s="1"/>
  <c r="E19" i="2"/>
  <c r="T18" i="2"/>
  <c r="V18" i="2" s="1"/>
  <c r="E18" i="2"/>
  <c r="T17" i="2"/>
  <c r="V17" i="2" s="1"/>
  <c r="E17" i="2"/>
  <c r="T15" i="2"/>
  <c r="E15" i="2"/>
  <c r="T14" i="2"/>
  <c r="V14" i="2" s="1"/>
  <c r="E14" i="2"/>
  <c r="T13" i="2"/>
  <c r="V13" i="2" s="1"/>
  <c r="E13" i="2"/>
  <c r="T12" i="2"/>
  <c r="V12" i="2" s="1"/>
  <c r="E12" i="2"/>
  <c r="T11" i="2"/>
  <c r="V11" i="2" s="1"/>
  <c r="E11" i="2"/>
  <c r="T10" i="2"/>
  <c r="E10" i="2"/>
  <c r="T9" i="2"/>
  <c r="V9" i="2" s="1"/>
  <c r="E9" i="2"/>
  <c r="T8" i="2"/>
  <c r="V8" i="2" s="1"/>
  <c r="E8" i="2"/>
  <c r="T7" i="2"/>
  <c r="V7" i="2" s="1"/>
  <c r="E7" i="2"/>
  <c r="T6" i="2"/>
  <c r="V6" i="2" s="1"/>
  <c r="E6" i="2"/>
  <c r="T5" i="2"/>
  <c r="V5" i="2" s="1"/>
  <c r="E5" i="2"/>
  <c r="T4" i="2"/>
  <c r="V4" i="2" s="1"/>
  <c r="E4" i="2"/>
  <c r="T3" i="2"/>
  <c r="V3" i="2" s="1"/>
  <c r="E3" i="2"/>
  <c r="T2" i="2"/>
  <c r="V2" i="2" s="1"/>
  <c r="P2" i="2"/>
  <c r="G2" i="2"/>
  <c r="E2" i="2"/>
  <c r="O88" i="2" l="1"/>
  <c r="O32" i="2"/>
  <c r="O26" i="2"/>
  <c r="Q83" i="2"/>
  <c r="R83" i="2" s="1"/>
  <c r="O20" i="2"/>
  <c r="O21" i="2"/>
  <c r="O12" i="2"/>
  <c r="Q12" i="2" s="1"/>
  <c r="R12" i="2" s="1"/>
  <c r="O17" i="2"/>
  <c r="Q17" i="2" s="1"/>
  <c r="R17" i="2" s="1"/>
  <c r="O7" i="2"/>
  <c r="O30" i="2"/>
  <c r="O29" i="2"/>
  <c r="O24" i="2"/>
  <c r="Q24" i="2" s="1"/>
  <c r="O16" i="2"/>
  <c r="Q16" i="2" s="1"/>
  <c r="R16" i="2" s="1"/>
  <c r="Q92" i="2"/>
  <c r="O124" i="2"/>
  <c r="Q108" i="2"/>
  <c r="R108" i="2" s="1"/>
  <c r="Q91" i="2"/>
  <c r="R91" i="2" s="1"/>
  <c r="Q59" i="2"/>
  <c r="R59" i="2" s="1"/>
  <c r="Q51" i="2"/>
  <c r="R51" i="2" s="1"/>
  <c r="O27" i="2"/>
  <c r="O22" i="2"/>
  <c r="Q22" i="2" s="1"/>
  <c r="R22" i="2" s="1"/>
  <c r="O68" i="2"/>
  <c r="Q115" i="2"/>
  <c r="R115" i="2" s="1"/>
  <c r="Q99" i="2"/>
  <c r="R99" i="2" s="1"/>
  <c r="T99" i="2" s="1"/>
  <c r="O90" i="2"/>
  <c r="Q90" i="2" s="1"/>
  <c r="R90" i="2" s="1"/>
  <c r="Q82" i="2"/>
  <c r="Q66" i="2"/>
  <c r="O58" i="2"/>
  <c r="Q50" i="2"/>
  <c r="R50" i="2" s="1"/>
  <c r="Q19" i="2"/>
  <c r="R19" i="2" s="1"/>
  <c r="Q52" i="2"/>
  <c r="Q123" i="2"/>
  <c r="R123" i="2" s="1"/>
  <c r="Q122" i="2"/>
  <c r="R122" i="2" s="1"/>
  <c r="O98" i="2"/>
  <c r="Q15" i="2"/>
  <c r="R15" i="2" s="1"/>
  <c r="Q36" i="2"/>
  <c r="Q88" i="2"/>
  <c r="R88" i="2" s="1"/>
  <c r="O80" i="2"/>
  <c r="Q56" i="2"/>
  <c r="Q48" i="2"/>
  <c r="R48" i="2" s="1"/>
  <c r="Q32" i="2"/>
  <c r="R32" i="2" s="1"/>
  <c r="Q120" i="2"/>
  <c r="Q112" i="2"/>
  <c r="Q104" i="2"/>
  <c r="O18" i="2"/>
  <c r="Q18" i="2" s="1"/>
  <c r="R18" i="2" s="1"/>
  <c r="Q124" i="2"/>
  <c r="R124" i="2" s="1"/>
  <c r="O121" i="2"/>
  <c r="O116" i="2"/>
  <c r="Q116" i="2" s="1"/>
  <c r="R116" i="2" s="1"/>
  <c r="O114" i="2"/>
  <c r="Q114" i="2" s="1"/>
  <c r="R114" i="2" s="1"/>
  <c r="O113" i="2"/>
  <c r="O111" i="2"/>
  <c r="Q111" i="2" s="1"/>
  <c r="R111" i="2" s="1"/>
  <c r="O107" i="2"/>
  <c r="Q107" i="2" s="1"/>
  <c r="R107" i="2" s="1"/>
  <c r="O106" i="2"/>
  <c r="Q106" i="2" s="1"/>
  <c r="R106" i="2" s="1"/>
  <c r="O105" i="2"/>
  <c r="O101" i="2"/>
  <c r="Q101" i="2" s="1"/>
  <c r="R101" i="2" s="1"/>
  <c r="Q100" i="2"/>
  <c r="R100" i="2" s="1"/>
  <c r="O100" i="2"/>
  <c r="Q98" i="2"/>
  <c r="R98" i="2" s="1"/>
  <c r="Q96" i="2"/>
  <c r="R96" i="2" s="1"/>
  <c r="O96" i="2"/>
  <c r="O94" i="2"/>
  <c r="Q94" i="2" s="1"/>
  <c r="R94" i="2" s="1"/>
  <c r="O93" i="2"/>
  <c r="Q93" i="2" s="1"/>
  <c r="R93" i="2" s="1"/>
  <c r="O85" i="2"/>
  <c r="Q85" i="2" s="1"/>
  <c r="R85" i="2" s="1"/>
  <c r="Q84" i="2"/>
  <c r="R84" i="2" s="1"/>
  <c r="O81" i="2"/>
  <c r="Q80" i="2"/>
  <c r="R80" i="2" s="1"/>
  <c r="O78" i="2"/>
  <c r="Q78" i="2" s="1"/>
  <c r="R78" i="2" s="1"/>
  <c r="T78" i="2" s="1"/>
  <c r="O75" i="2"/>
  <c r="Q75" i="2" s="1"/>
  <c r="R75" i="2" s="1"/>
  <c r="O77" i="2"/>
  <c r="Q77" i="2" s="1"/>
  <c r="R77" i="2" s="1"/>
  <c r="O76" i="2"/>
  <c r="Q76" i="2" s="1"/>
  <c r="R76" i="2" s="1"/>
  <c r="O74" i="2"/>
  <c r="Q74" i="2" s="1"/>
  <c r="R74" i="2" s="1"/>
  <c r="O73" i="2"/>
  <c r="Q73" i="2" s="1"/>
  <c r="R73" i="2" s="1"/>
  <c r="O72" i="2"/>
  <c r="Q72" i="2" s="1"/>
  <c r="R72" i="2" s="1"/>
  <c r="O71" i="2"/>
  <c r="Q68" i="2"/>
  <c r="R68" i="2" s="1"/>
  <c r="O67" i="2"/>
  <c r="Q67" i="2"/>
  <c r="R67" i="2" s="1"/>
  <c r="O64" i="2"/>
  <c r="Q64" i="2" s="1"/>
  <c r="R64" i="2" s="1"/>
  <c r="O62" i="2"/>
  <c r="Q62" i="2" s="1"/>
  <c r="R62" i="2" s="1"/>
  <c r="O61" i="2"/>
  <c r="Q61" i="2" s="1"/>
  <c r="R61" i="2" s="1"/>
  <c r="O60" i="2"/>
  <c r="Q60" i="2" s="1"/>
  <c r="R60" i="2" s="1"/>
  <c r="Q58" i="2"/>
  <c r="R58" i="2" s="1"/>
  <c r="O55" i="2"/>
  <c r="O53" i="2"/>
  <c r="Q53" i="2" s="1"/>
  <c r="R53" i="2" s="1"/>
  <c r="O47" i="2"/>
  <c r="Q47" i="2" s="1"/>
  <c r="R47" i="2" s="1"/>
  <c r="O46" i="2"/>
  <c r="Q46" i="2" s="1"/>
  <c r="R46" i="2" s="1"/>
  <c r="O45" i="2"/>
  <c r="Q45" i="2" s="1"/>
  <c r="R45" i="2" s="1"/>
  <c r="O44" i="2"/>
  <c r="Q44" i="2" s="1"/>
  <c r="R44" i="2" s="1"/>
  <c r="O43" i="2"/>
  <c r="Q43" i="2" s="1"/>
  <c r="R43" i="2" s="1"/>
  <c r="O42" i="2"/>
  <c r="Q42" i="2" s="1"/>
  <c r="R42" i="2" s="1"/>
  <c r="O41" i="2"/>
  <c r="Q41" i="2" s="1"/>
  <c r="R41" i="2" s="1"/>
  <c r="O40" i="2"/>
  <c r="Q40" i="2" s="1"/>
  <c r="R40" i="2" s="1"/>
  <c r="Q35" i="2"/>
  <c r="R35" i="2" s="1"/>
  <c r="O35" i="2"/>
  <c r="O34" i="2"/>
  <c r="Q34" i="2" s="1"/>
  <c r="R34" i="2" s="1"/>
  <c r="Q29" i="2"/>
  <c r="R29" i="2" s="1"/>
  <c r="O28" i="2"/>
  <c r="Q28" i="2" s="1"/>
  <c r="R28" i="2" s="1"/>
  <c r="Q27" i="2"/>
  <c r="R27" i="2" s="1"/>
  <c r="T27" i="2" s="1"/>
  <c r="Q20" i="2"/>
  <c r="R20" i="2" s="1"/>
  <c r="Q26" i="2"/>
  <c r="R26" i="2" s="1"/>
  <c r="Q118" i="2"/>
  <c r="R118" i="2" s="1"/>
  <c r="Q110" i="2"/>
  <c r="R110" i="2" s="1"/>
  <c r="Q102" i="2"/>
  <c r="R102" i="2" s="1"/>
  <c r="Q86" i="2"/>
  <c r="R86" i="2" s="1"/>
  <c r="Q70" i="2"/>
  <c r="R70" i="2" s="1"/>
  <c r="Q54" i="2"/>
  <c r="R54" i="2" s="1"/>
  <c r="Q38" i="2"/>
  <c r="R38" i="2" s="1"/>
  <c r="Q30" i="2"/>
  <c r="R30" i="2" s="1"/>
  <c r="Q13" i="2"/>
  <c r="R13" i="2" s="1"/>
  <c r="R82" i="2"/>
  <c r="R66" i="2"/>
  <c r="Q11" i="2"/>
  <c r="R11" i="2" s="1"/>
  <c r="R120" i="2"/>
  <c r="R112" i="2"/>
  <c r="R104" i="2"/>
  <c r="R56" i="2"/>
  <c r="R24" i="2"/>
  <c r="Q121" i="2"/>
  <c r="R121" i="2" s="1"/>
  <c r="Q113" i="2"/>
  <c r="R113" i="2" s="1"/>
  <c r="Q105" i="2"/>
  <c r="R105" i="2" s="1"/>
  <c r="Q97" i="2"/>
  <c r="R97" i="2" s="1"/>
  <c r="Q89" i="2"/>
  <c r="R89" i="2" s="1"/>
  <c r="Q81" i="2"/>
  <c r="R81" i="2" s="1"/>
  <c r="Q65" i="2"/>
  <c r="R65" i="2" s="1"/>
  <c r="Q57" i="2"/>
  <c r="R57" i="2" s="1"/>
  <c r="Q49" i="2"/>
  <c r="R49" i="2" s="1"/>
  <c r="Q33" i="2"/>
  <c r="R33" i="2" s="1"/>
  <c r="Q25" i="2"/>
  <c r="R25" i="2" s="1"/>
  <c r="R92" i="2"/>
  <c r="R52" i="2"/>
  <c r="R36" i="2"/>
  <c r="Q79" i="2"/>
  <c r="R79" i="2" s="1"/>
  <c r="Q71" i="2"/>
  <c r="R71" i="2" s="1"/>
  <c r="Q63" i="2"/>
  <c r="R63" i="2" s="1"/>
  <c r="Q55" i="2"/>
  <c r="R55" i="2" s="1"/>
  <c r="Q39" i="2"/>
  <c r="R39" i="2" s="1"/>
  <c r="Q31" i="2"/>
  <c r="R31" i="2" s="1"/>
  <c r="Q23" i="2"/>
  <c r="R23" i="2" s="1"/>
  <c r="O9" i="2"/>
  <c r="Q9" i="2" s="1"/>
  <c r="R9" i="2" s="1"/>
  <c r="O4" i="2"/>
  <c r="Q4" i="2" s="1"/>
  <c r="R4" i="2" s="1"/>
  <c r="Q21" i="2"/>
  <c r="R21" i="2" s="1"/>
  <c r="Q7" i="2"/>
  <c r="R7" i="2" s="1"/>
  <c r="O10" i="2"/>
  <c r="Q10" i="2" s="1"/>
  <c r="R10" i="2" s="1"/>
  <c r="O8" i="2"/>
  <c r="Q8" i="2" s="1"/>
  <c r="R8" i="2" s="1"/>
  <c r="O14" i="2"/>
  <c r="Q14" i="2" s="1"/>
  <c r="R14" i="2" s="1"/>
  <c r="O6" i="2"/>
  <c r="Q6" i="2" s="1"/>
  <c r="R6" i="2" s="1"/>
  <c r="O5" i="2"/>
  <c r="Q5" i="2" s="1"/>
  <c r="R5" i="2" s="1"/>
  <c r="Q3" i="2"/>
  <c r="R3" i="2" s="1"/>
  <c r="T109" i="2"/>
  <c r="Q2" i="2"/>
  <c r="R2" i="2" s="1"/>
</calcChain>
</file>

<file path=xl/sharedStrings.xml><?xml version="1.0" encoding="utf-8"?>
<sst xmlns="http://schemas.openxmlformats.org/spreadsheetml/2006/main" count="251" uniqueCount="147">
  <si>
    <t>cliente</t>
  </si>
  <si>
    <t>teléfono</t>
  </si>
  <si>
    <t>saldo anterior</t>
  </si>
  <si>
    <t>sodas</t>
  </si>
  <si>
    <t>jugo</t>
  </si>
  <si>
    <t>total</t>
  </si>
  <si>
    <t>saludo</t>
  </si>
  <si>
    <t>cálculo</t>
  </si>
  <si>
    <t>mensaje concatenado</t>
  </si>
  <si>
    <t>numero concatenado</t>
  </si>
  <si>
    <t>procesados</t>
  </si>
  <si>
    <t>mensaje</t>
  </si>
  <si>
    <t>procesado</t>
  </si>
  <si>
    <t>Dario racig</t>
  </si>
  <si>
    <t xml:space="preserve">Diana Mendoza </t>
  </si>
  <si>
    <t>Rufiner Sergio</t>
  </si>
  <si>
    <t xml:space="preserve">Alexandra Senger </t>
  </si>
  <si>
    <t>Acosta Gian Franco</t>
  </si>
  <si>
    <t>Gustavo soliz</t>
  </si>
  <si>
    <t xml:space="preserve">Sandra Troncoso </t>
  </si>
  <si>
    <t>Hugo Anibal Jacobi</t>
  </si>
  <si>
    <t>Aldana Josefina Gonzalez</t>
  </si>
  <si>
    <t>Santiago Nahuel Gonzalez</t>
  </si>
  <si>
    <t>ismael gonzalez</t>
  </si>
  <si>
    <t>Santana viviana</t>
  </si>
  <si>
    <t xml:space="preserve">Sandra Carina Alvarado </t>
  </si>
  <si>
    <t>Nestor Filippo</t>
  </si>
  <si>
    <t xml:space="preserve">Pedro Martínez </t>
  </si>
  <si>
    <t xml:space="preserve">Cuello Marisol </t>
  </si>
  <si>
    <t>Estapé Juan Pablo</t>
  </si>
  <si>
    <t xml:space="preserve">Nadia Benavidez </t>
  </si>
  <si>
    <t>Carolina retamar</t>
  </si>
  <si>
    <t>Claudia Gareis</t>
  </si>
  <si>
    <t>Ocampo Oscar Osvaldo</t>
  </si>
  <si>
    <t>Jesica Betiana Narvaez</t>
  </si>
  <si>
    <t>Mónica Acevedo</t>
  </si>
  <si>
    <t>Guillermo Vladimir Bustos Ramírez</t>
  </si>
  <si>
    <t>Ricardo Miguel Almarante</t>
  </si>
  <si>
    <t xml:space="preserve">Juan Manuel Giménez </t>
  </si>
  <si>
    <t xml:space="preserve">Carina Elizabeth Coiz </t>
  </si>
  <si>
    <t>Juan Guris</t>
  </si>
  <si>
    <t>Nelson Frank</t>
  </si>
  <si>
    <t>Romina Roberto</t>
  </si>
  <si>
    <t xml:space="preserve">Sandra frank </t>
  </si>
  <si>
    <t>Roger chavez</t>
  </si>
  <si>
    <t>Mabel Cardoso</t>
  </si>
  <si>
    <t>Ceballos Julio</t>
  </si>
  <si>
    <t xml:space="preserve">Maricel ceparo </t>
  </si>
  <si>
    <t xml:space="preserve">Taisner Elizabeth </t>
  </si>
  <si>
    <t>Nancy Maria Belen Leston</t>
  </si>
  <si>
    <t>Araceli Guadalupe Arce</t>
  </si>
  <si>
    <t>Daniela Moreno</t>
  </si>
  <si>
    <t>Marisa del Carmen Holotte</t>
  </si>
  <si>
    <t>saldo mes en curso</t>
  </si>
  <si>
    <t xml:space="preserve">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t>
  </si>
  <si>
    <t>orden</t>
  </si>
  <si>
    <t>Marcela Moreyra</t>
  </si>
  <si>
    <t>Sebastián Marzoratti</t>
  </si>
  <si>
    <t>Monica Kannemann</t>
  </si>
  <si>
    <t>Natalia Pividori</t>
  </si>
  <si>
    <t>Gaggión Marisa Gisela</t>
  </si>
  <si>
    <t>Alvarez Daneri Estefanía</t>
  </si>
  <si>
    <t xml:space="preserve">Silvia Grenat </t>
  </si>
  <si>
    <t>María Guadalupe Godoy</t>
  </si>
  <si>
    <t xml:space="preserve">Valentina Rodríguez </t>
  </si>
  <si>
    <t>Ríos María Angela</t>
  </si>
  <si>
    <t>Armando Garcilazo</t>
  </si>
  <si>
    <t>Jesica</t>
  </si>
  <si>
    <t>Cardelino Federico</t>
  </si>
  <si>
    <t>Jorge Lujan</t>
  </si>
  <si>
    <t>Marilin Larrea</t>
  </si>
  <si>
    <t>Darchez Pablo cesar</t>
  </si>
  <si>
    <t>Rodrigo Sampayo</t>
  </si>
  <si>
    <t>Julio</t>
  </si>
  <si>
    <t>Pedro BARRIOS</t>
  </si>
  <si>
    <t>Carolina Lima</t>
  </si>
  <si>
    <t>Patat Ines</t>
  </si>
  <si>
    <t>Jeremías Dreiszigacker</t>
  </si>
  <si>
    <t>JUAN PABLO ENRIQUEZ</t>
  </si>
  <si>
    <t>Marianela Ramos</t>
  </si>
  <si>
    <t>Mariela Albornoz</t>
  </si>
  <si>
    <t>Candela Campos</t>
  </si>
  <si>
    <t>Zorzenon Maria Fabiana</t>
  </si>
  <si>
    <t>Kruger norma</t>
  </si>
  <si>
    <t>Adriana Saiz</t>
  </si>
  <si>
    <t>Daniela Saiz</t>
  </si>
  <si>
    <t>Gómez Patricia Guadalupe</t>
  </si>
  <si>
    <t>schmit</t>
  </si>
  <si>
    <t>Florentino Ortega</t>
  </si>
  <si>
    <t>Estela Bastidas</t>
  </si>
  <si>
    <t>Silvia Alvarez</t>
  </si>
  <si>
    <t>Maria Evangelina Trovatto</t>
  </si>
  <si>
    <t>Norma Crovetto</t>
  </si>
  <si>
    <t>Carlos Alberto sotier</t>
  </si>
  <si>
    <t>Camila Johana Ruff</t>
  </si>
  <si>
    <t>Antonella Pfief</t>
  </si>
  <si>
    <t>Adriana Rosa Brahin</t>
  </si>
  <si>
    <t>Matias Gonzalez</t>
  </si>
  <si>
    <t>Yolanda Gonzalez</t>
  </si>
  <si>
    <t>Marcelo Durante</t>
  </si>
  <si>
    <t>Abasto Viviana</t>
  </si>
  <si>
    <t>Lorena comas</t>
  </si>
  <si>
    <t>Rocio Berenice Gonzalez</t>
  </si>
  <si>
    <t>MENTASTI CRISTIAN</t>
  </si>
  <si>
    <t>Eliseo Gándola</t>
  </si>
  <si>
    <t>Alvarado Sandra</t>
  </si>
  <si>
    <t>Millen Mariza</t>
  </si>
  <si>
    <t>Sandra Noemi Romero</t>
  </si>
  <si>
    <t>Elina Silvela</t>
  </si>
  <si>
    <t>~Veronica Hillmann</t>
  </si>
  <si>
    <t>~yaqui perez</t>
  </si>
  <si>
    <t>Camila Miño</t>
  </si>
  <si>
    <t>envase</t>
  </si>
  <si>
    <t>extra</t>
  </si>
  <si>
    <t>~Gise</t>
  </si>
  <si>
    <t>ARELLANO GONZALO HUGO</t>
  </si>
  <si>
    <t>Delfina Ramirez</t>
  </si>
  <si>
    <t>Carla Aparicio</t>
  </si>
  <si>
    <t>Carla Durante</t>
  </si>
  <si>
    <t>Daniela Carolina Burkhard</t>
  </si>
  <si>
    <t>Hector Eduardo Godoy</t>
  </si>
  <si>
    <t>Ada Francisca Cornejo</t>
  </si>
  <si>
    <t>Pesoa</t>
  </si>
  <si>
    <t>Adrian Kalesnik</t>
  </si>
  <si>
    <t>David Nicolás Romero</t>
  </si>
  <si>
    <t>García Lucila</t>
  </si>
  <si>
    <t>Ledehros Valentin</t>
  </si>
  <si>
    <t>Jorge Pino</t>
  </si>
  <si>
    <t>Hugo Darchez</t>
  </si>
  <si>
    <t>Fontana Juan</t>
  </si>
  <si>
    <t>Topino Liliana</t>
  </si>
  <si>
    <t>Sergio Arnica</t>
  </si>
  <si>
    <t>Estela Tomasini</t>
  </si>
  <si>
    <t>Juan Carlos</t>
  </si>
  <si>
    <t>García María Cristina</t>
  </si>
  <si>
    <t>Molina Daniel</t>
  </si>
  <si>
    <t>Montenegro Martin</t>
  </si>
  <si>
    <t>Mabel Saiz</t>
  </si>
  <si>
    <t>Ricardo Ramon Mernes</t>
  </si>
  <si>
    <t>Osorio Esther</t>
  </si>
  <si>
    <t>Fontana Jorge</t>
  </si>
  <si>
    <t>agua de 12</t>
  </si>
  <si>
    <t>agua de 20</t>
  </si>
  <si>
    <t>martes</t>
  </si>
  <si>
    <t>miercoles</t>
  </si>
  <si>
    <t>viernes</t>
  </si>
  <si>
    <t>lunes y 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</si>
</sst>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44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0" borderId="0" xfId="0" applyFont="1" applyFill="1" applyBorder="1" applyAlignment="1" applyProtection="1">
      <alignment horizontal="center"/>
      <protection locked="0"/>
    </xf>
    <xf numFmtId="44" fontId="2" fillId="0" borderId="0" xfId="1" applyFont="1" applyFill="1" applyBorder="1" applyAlignment="1" applyProtection="1">
      <alignment horizontal="center"/>
      <protection locked="0"/>
    </xf>
    <xf numFmtId="9" fontId="2" fillId="0" borderId="0" xfId="1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5" fillId="0" borderId="0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center" vertical="center" textRotation="9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B833-51B1-4578-B9FE-16CA3FC4ED08}">
  <dimension ref="A1:W124"/>
  <sheetViews>
    <sheetView tabSelected="1" zoomScale="60" zoomScaleNormal="60" workbookViewId="0">
      <pane ySplit="1" topLeftCell="A2" activePane="bottomLeft" state="frozen"/>
      <selection pane="bottomLeft" activeCell="K3" sqref="K3"/>
    </sheetView>
  </sheetViews>
  <sheetFormatPr baseColWidth="10" defaultRowHeight="14.5" x14ac:dyDescent="0.35"/>
  <cols>
    <col min="1" max="1" width="10.90625" style="7"/>
    <col min="2" max="2" width="6" style="7" bestFit="1" customWidth="1"/>
    <col min="3" max="3" width="30.54296875" style="7" bestFit="1" customWidth="1"/>
    <col min="4" max="4" width="11.6328125" style="7" bestFit="1" customWidth="1"/>
    <col min="5" max="5" width="18.81640625" style="7" bestFit="1" customWidth="1"/>
    <col min="6" max="6" width="13.81640625" style="7" bestFit="1" customWidth="1"/>
    <col min="7" max="7" width="15.54296875" style="7" customWidth="1"/>
    <col min="8" max="9" width="10.08984375" style="7" bestFit="1" customWidth="1"/>
    <col min="10" max="10" width="5.6328125" style="7" bestFit="1" customWidth="1"/>
    <col min="11" max="11" width="4.453125" style="7" bestFit="1" customWidth="1"/>
    <col min="12" max="12" width="6.7265625" style="7" bestFit="1" customWidth="1"/>
    <col min="13" max="13" width="12.08984375" style="7" bestFit="1" customWidth="1"/>
    <col min="14" max="14" width="18.08984375" style="7" bestFit="1" customWidth="1"/>
    <col min="15" max="15" width="18.7265625" style="7" customWidth="1"/>
    <col min="16" max="16" width="64.36328125" style="7" bestFit="1" customWidth="1"/>
    <col min="17" max="17" width="162.36328125" style="7" bestFit="1" customWidth="1"/>
    <col min="18" max="18" width="199.81640625" style="10" bestFit="1" customWidth="1"/>
    <col min="19" max="22" width="255.6328125" style="7" bestFit="1" customWidth="1"/>
    <col min="23" max="23" width="9.54296875" style="7" bestFit="1" customWidth="1"/>
    <col min="24" max="16384" width="10.90625" style="7"/>
  </cols>
  <sheetData>
    <row r="1" spans="1:23" s="11" customFormat="1" x14ac:dyDescent="0.35">
      <c r="B1" s="11" t="s">
        <v>55</v>
      </c>
      <c r="C1" s="11" t="s">
        <v>0</v>
      </c>
      <c r="D1" s="11" t="s">
        <v>1</v>
      </c>
      <c r="E1" s="11" t="s">
        <v>9</v>
      </c>
      <c r="F1" s="12" t="s">
        <v>2</v>
      </c>
      <c r="G1" s="13">
        <v>0.1</v>
      </c>
      <c r="H1" s="11" t="s">
        <v>141</v>
      </c>
      <c r="I1" s="11" t="s">
        <v>142</v>
      </c>
      <c r="J1" s="11" t="s">
        <v>3</v>
      </c>
      <c r="K1" s="11" t="s">
        <v>4</v>
      </c>
      <c r="L1" s="11" t="s">
        <v>112</v>
      </c>
      <c r="M1" s="12" t="s">
        <v>113</v>
      </c>
      <c r="N1" s="12" t="s">
        <v>53</v>
      </c>
      <c r="O1" s="12" t="s">
        <v>5</v>
      </c>
      <c r="P1" s="11" t="s">
        <v>6</v>
      </c>
      <c r="Q1" s="14" t="s">
        <v>7</v>
      </c>
      <c r="R1" s="11" t="s">
        <v>8</v>
      </c>
      <c r="S1" s="11" t="s">
        <v>10</v>
      </c>
      <c r="T1" s="11" t="s">
        <v>6</v>
      </c>
      <c r="U1" s="11" t="s">
        <v>11</v>
      </c>
      <c r="V1" s="11" t="s">
        <v>8</v>
      </c>
      <c r="W1" s="11" t="s">
        <v>12</v>
      </c>
    </row>
    <row r="2" spans="1:23" s="3" customFormat="1" x14ac:dyDescent="0.35">
      <c r="A2" s="15" t="s">
        <v>146</v>
      </c>
      <c r="B2" s="2">
        <v>1</v>
      </c>
      <c r="C2" s="2" t="s">
        <v>13</v>
      </c>
      <c r="D2" s="2">
        <v>3434605442</v>
      </c>
      <c r="E2" s="2" t="str">
        <f>CONCATENATE("549",D2)</f>
        <v>5493434605442</v>
      </c>
      <c r="F2" s="1">
        <v>0</v>
      </c>
      <c r="G2" s="6">
        <f t="shared" ref="G2:G66" si="0">F2+F2*0.1</f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1">
        <v>0</v>
      </c>
      <c r="N2" s="1">
        <f>SUM(H2*3500,I2*5000,J2*1100,K2*6000,L2*7500)</f>
        <v>0</v>
      </c>
      <c r="O2" s="1">
        <f>SUM(G2,N2,M2)</f>
        <v>0</v>
      </c>
      <c r="P2" s="3" t="str">
        <f>CONCATENATE("_Buen día ",C2,"! Le paso el saldo pendiente:_")</f>
        <v>_Buen día Dario racig! Le paso el saldo pendiente:_</v>
      </c>
      <c r="Q2" s="3" t="str">
        <f>CONCATENATE("*DETALLE DE CUENTA:*
",H2," bidones de 12l
",I2," bidones de 20l
",J2," sodas
",K2," jugo
",L2," envase
",M2," extra
*TOTAL:*",TEXT(N2,"$#.##0,00"),"
*SALDO ANTERIOR:*",TEXT(G2,"$#.##0,00"),"
*MONTO TOTAL ADEUDADO:*",TEXT(O2,"$#.##0,00"))</f>
        <v>*DETALLE DE CUENTA:*
0 bidones de 12l
0 bidones de 20l
0 sodas
0 jugo
0 envase
0 extra
*TOTAL:*$0,00
*SALDO ANTERIOR:*$0,00
*MONTO TOTAL ADEUDADO:*$0,00</v>
      </c>
      <c r="R2" s="3" t="str">
        <f t="shared" ref="R2:R66" si="1">CONCATENATE(P2,CHAR(10),Q2)</f>
        <v>_Buen día Dario racig! Le paso el saldo pendiente:_
*DETALLE DE CUENTA:*
0 bidones de 12l
0 bidones de 20l
0 sodas
0 jugo
0 envase
0 extra
*TOTAL:*$0,00
*SALDO ANTERIOR:*$0,00
*MONTO TOTAL ADEUDADO:*$0,00</v>
      </c>
      <c r="T2" s="3" t="str">
        <f t="shared" ref="T2:T24" si="2">CONCATENATE("_Buen día ",C2,"_")</f>
        <v>_Buen día Dario racig_</v>
      </c>
      <c r="U2" s="3" t="s">
        <v>54</v>
      </c>
      <c r="V2" s="3" t="str">
        <f t="shared" ref="V2:V9" si="3">CONCATENATE(T2,U2)</f>
        <v>_Buen día Dario racig_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3" spans="1:23" s="3" customFormat="1" x14ac:dyDescent="0.35">
      <c r="A3" s="15"/>
      <c r="B3" s="2">
        <v>2</v>
      </c>
      <c r="C3" s="2" t="s">
        <v>14</v>
      </c>
      <c r="D3" s="2">
        <v>3436233904</v>
      </c>
      <c r="E3" s="2" t="str">
        <f t="shared" ref="E3:E24" si="4">CONCATENATE("549",D3)</f>
        <v>5493436233904</v>
      </c>
      <c r="F3" s="1">
        <v>0</v>
      </c>
      <c r="G3" s="6">
        <f t="shared" si="0"/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1">
        <v>0</v>
      </c>
      <c r="N3" s="1">
        <f t="shared" ref="N3:N67" si="5">SUM(H3*3500,I3*5000,J3*1100,K3*6000,L3*7500)</f>
        <v>0</v>
      </c>
      <c r="O3" s="1">
        <f t="shared" ref="O3:O67" si="6">SUM(G3,N3,M3)</f>
        <v>0</v>
      </c>
      <c r="P3" s="3" t="str">
        <f t="shared" ref="P3:P67" si="7">CONCATENATE("_Buen día ",C3,"! Le paso el saldo pendiente:_")</f>
        <v>_Buen día Diana Mendoza ! Le paso el saldo pendiente:_</v>
      </c>
      <c r="Q3" s="3" t="str">
        <f t="shared" ref="Q3:Q67" si="8">CONCATENATE("*DETALLE DE CUENTA:*
",H3," bidones de 12l
",I3," bidones de 20l
",J3," sodas
",K3," jugo
",L3," envase
",M3," extra
*TOTAL:*",TEXT(N3,"$#.##0,00"),"
*SALDO ANTERIOR:*",TEXT(G3,"$#.##0,00"),"
*MONTO TOTAL ADEUDADO:*",TEXT(O3,"$#.##0,00"))</f>
        <v>*DETALLE DE CUENTA:*
0 bidones de 12l
0 bidones de 20l
0 sodas
0 jugo
0 envase
0 extra
*TOTAL:*$0,00
*SALDO ANTERIOR:*$0,00
*MONTO TOTAL ADEUDADO:*$0,00</v>
      </c>
      <c r="R3" s="3" t="str">
        <f t="shared" si="1"/>
        <v>_Buen día Diana Mendoza ! Le paso el saldo pendiente:_
*DETALLE DE CUENTA:*
0 bidones de 12l
0 bidones de 20l
0 sodas
0 jugo
0 envase
0 extra
*TOTAL:*$0,00
*SALDO ANTERIOR:*$0,00
*MONTO TOTAL ADEUDADO:*$0,00</v>
      </c>
      <c r="T3" s="3" t="str">
        <f t="shared" si="2"/>
        <v>_Buen día Diana Mendoza _</v>
      </c>
      <c r="U3" s="3" t="s">
        <v>54</v>
      </c>
      <c r="V3" s="3" t="str">
        <f t="shared" si="3"/>
        <v>_Buen día Diana Mendoza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4" spans="1:23" s="3" customFormat="1" x14ac:dyDescent="0.35">
      <c r="A4" s="15"/>
      <c r="B4" s="2">
        <v>3</v>
      </c>
      <c r="C4" s="2" t="s">
        <v>15</v>
      </c>
      <c r="D4" s="2">
        <v>3434618054</v>
      </c>
      <c r="E4" s="2" t="str">
        <f t="shared" si="4"/>
        <v>5493434618054</v>
      </c>
      <c r="F4" s="1">
        <v>0</v>
      </c>
      <c r="G4" s="6">
        <f t="shared" si="0"/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1">
        <v>0</v>
      </c>
      <c r="N4" s="1">
        <f t="shared" si="5"/>
        <v>0</v>
      </c>
      <c r="O4" s="1">
        <f t="shared" si="6"/>
        <v>0</v>
      </c>
      <c r="P4" s="3" t="str">
        <f t="shared" si="7"/>
        <v>_Buen día Rufiner Sergio! Le paso el saldo pendiente:_</v>
      </c>
      <c r="Q4" s="3" t="str">
        <f t="shared" si="8"/>
        <v>*DETALLE DE CUENTA:*
0 bidones de 12l
0 bidones de 20l
0 sodas
0 jugo
0 envase
0 extra
*TOTAL:*$0,00
*SALDO ANTERIOR:*$0,00
*MONTO TOTAL ADEUDADO:*$0,00</v>
      </c>
      <c r="R4" s="3" t="str">
        <f t="shared" si="1"/>
        <v>_Buen día Rufiner Sergio! Le paso el saldo pendiente:_
*DETALLE DE CUENTA:*
0 bidones de 12l
0 bidones de 20l
0 sodas
0 jugo
0 envase
0 extra
*TOTAL:*$0,00
*SALDO ANTERIOR:*$0,00
*MONTO TOTAL ADEUDADO:*$0,00</v>
      </c>
      <c r="T4" s="3" t="str">
        <f t="shared" si="2"/>
        <v>_Buen día Rufiner Sergio_</v>
      </c>
      <c r="U4" s="3" t="s">
        <v>54</v>
      </c>
      <c r="V4" s="3" t="str">
        <f t="shared" si="3"/>
        <v>_Buen día Rufiner Sergio_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5" spans="1:23" s="3" customFormat="1" x14ac:dyDescent="0.35">
      <c r="A5" s="15"/>
      <c r="B5" s="2">
        <v>4</v>
      </c>
      <c r="C5" s="2" t="s">
        <v>16</v>
      </c>
      <c r="D5" s="2">
        <v>3434386335</v>
      </c>
      <c r="E5" s="2" t="str">
        <f t="shared" si="4"/>
        <v>5493434386335</v>
      </c>
      <c r="F5" s="1">
        <v>0</v>
      </c>
      <c r="G5" s="6">
        <f t="shared" si="0"/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1">
        <v>0</v>
      </c>
      <c r="N5" s="1">
        <f t="shared" si="5"/>
        <v>0</v>
      </c>
      <c r="O5" s="1">
        <f t="shared" si="6"/>
        <v>0</v>
      </c>
      <c r="P5" s="3" t="str">
        <f t="shared" si="7"/>
        <v>_Buen día Alexandra Senger ! Le paso el saldo pendiente:_</v>
      </c>
      <c r="Q5" s="3" t="str">
        <f t="shared" si="8"/>
        <v>*DETALLE DE CUENTA:*
0 bidones de 12l
0 bidones de 20l
0 sodas
0 jugo
0 envase
0 extra
*TOTAL:*$0,00
*SALDO ANTERIOR:*$0,00
*MONTO TOTAL ADEUDADO:*$0,00</v>
      </c>
      <c r="R5" s="3" t="str">
        <f t="shared" si="1"/>
        <v>_Buen día Alexandra Senger ! Le paso el saldo pendiente:_
*DETALLE DE CUENTA:*
0 bidones de 12l
0 bidones de 20l
0 sodas
0 jugo
0 envase
0 extra
*TOTAL:*$0,00
*SALDO ANTERIOR:*$0,00
*MONTO TOTAL ADEUDADO:*$0,00</v>
      </c>
      <c r="T5" s="3" t="str">
        <f t="shared" si="2"/>
        <v>_Buen día Alexandra Senger _</v>
      </c>
      <c r="U5" s="3" t="s">
        <v>54</v>
      </c>
      <c r="V5" s="3" t="str">
        <f t="shared" si="3"/>
        <v>_Buen día Alexandra Senger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6" spans="1:23" s="3" customFormat="1" x14ac:dyDescent="0.35">
      <c r="A6" s="15"/>
      <c r="B6" s="2">
        <v>5</v>
      </c>
      <c r="C6" s="2" t="s">
        <v>17</v>
      </c>
      <c r="D6" s="2">
        <v>3435258559</v>
      </c>
      <c r="E6" s="2" t="str">
        <f t="shared" si="4"/>
        <v>5493435258559</v>
      </c>
      <c r="F6" s="1">
        <v>0</v>
      </c>
      <c r="G6" s="6">
        <f t="shared" si="0"/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1">
        <v>0</v>
      </c>
      <c r="N6" s="1">
        <f t="shared" si="5"/>
        <v>0</v>
      </c>
      <c r="O6" s="1">
        <f t="shared" si="6"/>
        <v>0</v>
      </c>
      <c r="P6" s="3" t="str">
        <f t="shared" si="7"/>
        <v>_Buen día Acosta Gian Franco! Le paso el saldo pendiente:_</v>
      </c>
      <c r="Q6" s="3" t="str">
        <f t="shared" si="8"/>
        <v>*DETALLE DE CUENTA:*
0 bidones de 12l
0 bidones de 20l
0 sodas
0 jugo
0 envase
0 extra
*TOTAL:*$0,00
*SALDO ANTERIOR:*$0,00
*MONTO TOTAL ADEUDADO:*$0,00</v>
      </c>
      <c r="R6" s="3" t="str">
        <f t="shared" si="1"/>
        <v>_Buen día Acosta Gian Franco! Le paso el saldo pendiente:_
*DETALLE DE CUENTA:*
0 bidones de 12l
0 bidones de 20l
0 sodas
0 jugo
0 envase
0 extra
*TOTAL:*$0,00
*SALDO ANTERIOR:*$0,00
*MONTO TOTAL ADEUDADO:*$0,00</v>
      </c>
      <c r="T6" s="3" t="str">
        <f t="shared" si="2"/>
        <v>_Buen día Acosta Gian Franco_</v>
      </c>
      <c r="U6" s="3" t="s">
        <v>54</v>
      </c>
      <c r="V6" s="3" t="str">
        <f t="shared" si="3"/>
        <v>_Buen día Acosta Gian Franco_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7" spans="1:23" s="3" customFormat="1" x14ac:dyDescent="0.35">
      <c r="A7" s="15"/>
      <c r="B7" s="2">
        <v>6</v>
      </c>
      <c r="C7" s="2" t="s">
        <v>18</v>
      </c>
      <c r="D7" s="2">
        <v>3434293741</v>
      </c>
      <c r="E7" s="2" t="str">
        <f t="shared" si="4"/>
        <v>5493434293741</v>
      </c>
      <c r="F7" s="1">
        <v>0</v>
      </c>
      <c r="G7" s="6">
        <f t="shared" si="0"/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1">
        <v>0</v>
      </c>
      <c r="N7" s="1">
        <f t="shared" si="5"/>
        <v>0</v>
      </c>
      <c r="O7" s="1">
        <f t="shared" si="6"/>
        <v>0</v>
      </c>
      <c r="P7" s="3" t="str">
        <f t="shared" si="7"/>
        <v>_Buen día Gustavo soliz! Le paso el saldo pendiente:_</v>
      </c>
      <c r="Q7" s="3" t="str">
        <f t="shared" si="8"/>
        <v>*DETALLE DE CUENTA:*
0 bidones de 12l
0 bidones de 20l
0 sodas
0 jugo
0 envase
0 extra
*TOTAL:*$0,00
*SALDO ANTERIOR:*$0,00
*MONTO TOTAL ADEUDADO:*$0,00</v>
      </c>
      <c r="R7" s="3" t="str">
        <f t="shared" si="1"/>
        <v>_Buen día Gustavo soliz! Le paso el saldo pendiente:_
*DETALLE DE CUENTA:*
0 bidones de 12l
0 bidones de 20l
0 sodas
0 jugo
0 envase
0 extra
*TOTAL:*$0,00
*SALDO ANTERIOR:*$0,00
*MONTO TOTAL ADEUDADO:*$0,00</v>
      </c>
      <c r="T7" s="3" t="str">
        <f t="shared" si="2"/>
        <v>_Buen día Gustavo soliz_</v>
      </c>
      <c r="U7" s="3" t="s">
        <v>54</v>
      </c>
      <c r="V7" s="3" t="str">
        <f t="shared" si="3"/>
        <v>_Buen día Gustavo soliz_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8" spans="1:23" s="3" customFormat="1" x14ac:dyDescent="0.35">
      <c r="A8" s="15"/>
      <c r="B8" s="2">
        <v>7</v>
      </c>
      <c r="C8" s="2" t="s">
        <v>19</v>
      </c>
      <c r="D8" s="2">
        <v>3434669916</v>
      </c>
      <c r="E8" s="2" t="str">
        <f t="shared" si="4"/>
        <v>5493434669916</v>
      </c>
      <c r="F8" s="1">
        <v>0</v>
      </c>
      <c r="G8" s="6">
        <f t="shared" si="0"/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1">
        <v>0</v>
      </c>
      <c r="N8" s="1">
        <f t="shared" si="5"/>
        <v>0</v>
      </c>
      <c r="O8" s="1">
        <f t="shared" si="6"/>
        <v>0</v>
      </c>
      <c r="P8" s="3" t="str">
        <f t="shared" si="7"/>
        <v>_Buen día Sandra Troncoso ! Le paso el saldo pendiente:_</v>
      </c>
      <c r="Q8" s="3" t="str">
        <f t="shared" si="8"/>
        <v>*DETALLE DE CUENTA:*
0 bidones de 12l
0 bidones de 20l
0 sodas
0 jugo
0 envase
0 extra
*TOTAL:*$0,00
*SALDO ANTERIOR:*$0,00
*MONTO TOTAL ADEUDADO:*$0,00</v>
      </c>
      <c r="R8" s="3" t="str">
        <f t="shared" si="1"/>
        <v>_Buen día Sandra Troncoso ! Le paso el saldo pendiente:_
*DETALLE DE CUENTA:*
0 bidones de 12l
0 bidones de 20l
0 sodas
0 jugo
0 envase
0 extra
*TOTAL:*$0,00
*SALDO ANTERIOR:*$0,00
*MONTO TOTAL ADEUDADO:*$0,00</v>
      </c>
      <c r="T8" s="3" t="str">
        <f t="shared" si="2"/>
        <v>_Buen día Sandra Troncoso _</v>
      </c>
      <c r="U8" s="3" t="s">
        <v>54</v>
      </c>
      <c r="V8" s="3" t="str">
        <f t="shared" si="3"/>
        <v>_Buen día Sandra Troncoso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9" spans="1:23" s="3" customFormat="1" x14ac:dyDescent="0.35">
      <c r="A9" s="15"/>
      <c r="B9" s="2">
        <v>8</v>
      </c>
      <c r="C9" s="2" t="s">
        <v>20</v>
      </c>
      <c r="D9" s="2">
        <v>3434624011</v>
      </c>
      <c r="E9" s="2" t="str">
        <f t="shared" si="4"/>
        <v>5493434624011</v>
      </c>
      <c r="F9" s="1">
        <v>0</v>
      </c>
      <c r="G9" s="6">
        <f t="shared" si="0"/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1">
        <v>0</v>
      </c>
      <c r="N9" s="1">
        <f t="shared" si="5"/>
        <v>0</v>
      </c>
      <c r="O9" s="1">
        <f t="shared" si="6"/>
        <v>0</v>
      </c>
      <c r="P9" s="3" t="str">
        <f t="shared" si="7"/>
        <v>_Buen día Hugo Anibal Jacobi! Le paso el saldo pendiente:_</v>
      </c>
      <c r="Q9" s="3" t="str">
        <f t="shared" si="8"/>
        <v>*DETALLE DE CUENTA:*
0 bidones de 12l
0 bidones de 20l
0 sodas
0 jugo
0 envase
0 extra
*TOTAL:*$0,00
*SALDO ANTERIOR:*$0,00
*MONTO TOTAL ADEUDADO:*$0,00</v>
      </c>
      <c r="R9" s="3" t="str">
        <f t="shared" si="1"/>
        <v>_Buen día Hugo Anibal Jacobi! Le paso el saldo pendiente:_
*DETALLE DE CUENTA:*
0 bidones de 12l
0 bidones de 20l
0 sodas
0 jugo
0 envase
0 extra
*TOTAL:*$0,00
*SALDO ANTERIOR:*$0,00
*MONTO TOTAL ADEUDADO:*$0,00</v>
      </c>
      <c r="T9" s="3" t="str">
        <f t="shared" si="2"/>
        <v>_Buen día Hugo Anibal Jacobi_</v>
      </c>
      <c r="U9" s="3" t="s">
        <v>54</v>
      </c>
      <c r="V9" s="3" t="str">
        <f t="shared" si="3"/>
        <v>_Buen día Hugo Anibal Jacobi_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0" spans="1:23" x14ac:dyDescent="0.35">
      <c r="A10" s="15"/>
      <c r="B10" s="2">
        <v>9</v>
      </c>
      <c r="C10" s="2" t="s">
        <v>122</v>
      </c>
      <c r="D10" s="2">
        <v>3435059158</v>
      </c>
      <c r="E10" s="2" t="str">
        <f t="shared" si="4"/>
        <v>5493435059158</v>
      </c>
      <c r="F10" s="1">
        <v>0</v>
      </c>
      <c r="G10" s="6">
        <f t="shared" si="0"/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">
        <v>0</v>
      </c>
      <c r="N10" s="1">
        <f t="shared" si="5"/>
        <v>0</v>
      </c>
      <c r="O10" s="1">
        <f t="shared" si="6"/>
        <v>0</v>
      </c>
      <c r="P10" s="3" t="str">
        <f t="shared" si="7"/>
        <v>_Buen día Pesoa! Le paso el saldo pendiente:_</v>
      </c>
      <c r="Q10" s="3" t="str">
        <f t="shared" si="8"/>
        <v>*DETALLE DE CUENTA:*
0 bidones de 12l
0 bidones de 20l
0 sodas
0 jugo
0 envase
0 extra
*TOTAL:*$0,00
*SALDO ANTERIOR:*$0,00
*MONTO TOTAL ADEUDADO:*$0,00</v>
      </c>
      <c r="R10" s="3" t="str">
        <f t="shared" si="1"/>
        <v>_Buen día Pesoa! Le paso el saldo pendiente:_
*DETALLE DE CUENTA:*
0 bidones de 12l
0 bidones de 20l
0 sodas
0 jugo
0 envase
0 extra
*TOTAL:*$0,00
*SALDO ANTERIOR:*$0,00
*MONTO TOTAL ADEUDADO:*$0,00</v>
      </c>
      <c r="T10" s="3" t="str">
        <f t="shared" si="2"/>
        <v>_Buen día Pesoa_</v>
      </c>
    </row>
    <row r="11" spans="1:23" s="3" customFormat="1" x14ac:dyDescent="0.35">
      <c r="A11" s="15"/>
      <c r="B11" s="2">
        <v>10</v>
      </c>
      <c r="C11" s="2" t="s">
        <v>21</v>
      </c>
      <c r="D11" s="2">
        <v>3435449151</v>
      </c>
      <c r="E11" s="2" t="str">
        <f t="shared" si="4"/>
        <v>5493435449151</v>
      </c>
      <c r="F11" s="1">
        <v>0</v>
      </c>
      <c r="G11" s="6">
        <f t="shared" si="0"/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1">
        <v>0</v>
      </c>
      <c r="N11" s="1">
        <f t="shared" si="5"/>
        <v>0</v>
      </c>
      <c r="O11" s="1">
        <f t="shared" si="6"/>
        <v>0</v>
      </c>
      <c r="P11" s="3" t="str">
        <f t="shared" si="7"/>
        <v>_Buen día Aldana Josefina Gonzalez! Le paso el saldo pendiente:_</v>
      </c>
      <c r="Q11" s="3" t="str">
        <f t="shared" si="8"/>
        <v>*DETALLE DE CUENTA:*
0 bidones de 12l
0 bidones de 20l
0 sodas
0 jugo
0 envase
0 extra
*TOTAL:*$0,00
*SALDO ANTERIOR:*$0,00
*MONTO TOTAL ADEUDADO:*$0,00</v>
      </c>
      <c r="R11" s="3" t="str">
        <f t="shared" si="1"/>
        <v>_Buen día Aldana Josefina Gonzalez! Le paso el saldo pendiente:_
*DETALLE DE CUENTA:*
0 bidones de 12l
0 bidones de 20l
0 sodas
0 jugo
0 envase
0 extra
*TOTAL:*$0,00
*SALDO ANTERIOR:*$0,00
*MONTO TOTAL ADEUDADO:*$0,00</v>
      </c>
      <c r="T11" s="3" t="str">
        <f t="shared" si="2"/>
        <v>_Buen día Aldana Josefina Gonzalez_</v>
      </c>
      <c r="U11" s="3" t="s">
        <v>54</v>
      </c>
      <c r="V11" s="3" t="str">
        <f t="shared" ref="V11:V14" si="9">CONCATENATE(T11,U11)</f>
        <v>_Buen día Aldana Josefina Gonzalez_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2" spans="1:23" s="3" customFormat="1" x14ac:dyDescent="0.35">
      <c r="A12" s="15"/>
      <c r="B12" s="2">
        <v>11</v>
      </c>
      <c r="C12" s="2" t="s">
        <v>22</v>
      </c>
      <c r="D12" s="2">
        <v>3434532833</v>
      </c>
      <c r="E12" s="2" t="str">
        <f t="shared" si="4"/>
        <v>5493434532833</v>
      </c>
      <c r="F12" s="1">
        <v>0</v>
      </c>
      <c r="G12" s="6">
        <f t="shared" si="0"/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1">
        <v>0</v>
      </c>
      <c r="N12" s="1">
        <f t="shared" si="5"/>
        <v>0</v>
      </c>
      <c r="O12" s="1">
        <f t="shared" si="6"/>
        <v>0</v>
      </c>
      <c r="P12" s="3" t="str">
        <f t="shared" si="7"/>
        <v>_Buen día Santiago Nahuel Gonzalez! Le paso el saldo pendiente:_</v>
      </c>
      <c r="Q12" s="3" t="str">
        <f t="shared" si="8"/>
        <v>*DETALLE DE CUENTA:*
0 bidones de 12l
0 bidones de 20l
0 sodas
0 jugo
0 envase
0 extra
*TOTAL:*$0,00
*SALDO ANTERIOR:*$0,00
*MONTO TOTAL ADEUDADO:*$0,00</v>
      </c>
      <c r="R12" s="3" t="str">
        <f t="shared" si="1"/>
        <v>_Buen día Santiago Nahuel Gonzalez! Le paso el saldo pendiente:_
*DETALLE DE CUENTA:*
0 bidones de 12l
0 bidones de 20l
0 sodas
0 jugo
0 envase
0 extra
*TOTAL:*$0,00
*SALDO ANTERIOR:*$0,00
*MONTO TOTAL ADEUDADO:*$0,00</v>
      </c>
      <c r="T12" s="3" t="str">
        <f t="shared" si="2"/>
        <v>_Buen día Santiago Nahuel Gonzalez_</v>
      </c>
      <c r="U12" s="3" t="s">
        <v>54</v>
      </c>
      <c r="V12" s="3" t="str">
        <f t="shared" si="9"/>
        <v>_Buen día Santiago Nahuel Gonzalez_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3" spans="1:23" s="3" customFormat="1" x14ac:dyDescent="0.35">
      <c r="A13" s="15"/>
      <c r="B13" s="2">
        <v>12</v>
      </c>
      <c r="C13" s="2" t="s">
        <v>23</v>
      </c>
      <c r="D13" s="2">
        <v>3434386209</v>
      </c>
      <c r="E13" s="2" t="str">
        <f t="shared" si="4"/>
        <v>5493434386209</v>
      </c>
      <c r="F13" s="1">
        <v>0</v>
      </c>
      <c r="G13" s="6">
        <f t="shared" si="0"/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1">
        <v>0</v>
      </c>
      <c r="N13" s="1">
        <f t="shared" si="5"/>
        <v>0</v>
      </c>
      <c r="O13" s="1">
        <f t="shared" si="6"/>
        <v>0</v>
      </c>
      <c r="P13" s="3" t="str">
        <f t="shared" si="7"/>
        <v>_Buen día ismael gonzalez! Le paso el saldo pendiente:_</v>
      </c>
      <c r="Q13" s="3" t="str">
        <f t="shared" si="8"/>
        <v>*DETALLE DE CUENTA:*
0 bidones de 12l
0 bidones de 20l
0 sodas
0 jugo
0 envase
0 extra
*TOTAL:*$0,00
*SALDO ANTERIOR:*$0,00
*MONTO TOTAL ADEUDADO:*$0,00</v>
      </c>
      <c r="R13" s="3" t="str">
        <f t="shared" si="1"/>
        <v>_Buen día ismael gonzalez! Le paso el saldo pendiente:_
*DETALLE DE CUENTA:*
0 bidones de 12l
0 bidones de 20l
0 sodas
0 jugo
0 envase
0 extra
*TOTAL:*$0,00
*SALDO ANTERIOR:*$0,00
*MONTO TOTAL ADEUDADO:*$0,00</v>
      </c>
      <c r="T13" s="3" t="str">
        <f t="shared" si="2"/>
        <v>_Buen día ismael gonzalez_</v>
      </c>
      <c r="U13" s="3" t="s">
        <v>54</v>
      </c>
      <c r="V13" s="3" t="str">
        <f t="shared" si="9"/>
        <v>_Buen día ismael gonzalez_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4" spans="1:23" s="3" customFormat="1" x14ac:dyDescent="0.35">
      <c r="A14" s="15"/>
      <c r="B14" s="2">
        <v>13</v>
      </c>
      <c r="C14" s="2" t="s">
        <v>24</v>
      </c>
      <c r="D14" s="2">
        <v>3434691569</v>
      </c>
      <c r="E14" s="2" t="str">
        <f t="shared" si="4"/>
        <v>5493434691569</v>
      </c>
      <c r="F14" s="1">
        <v>0</v>
      </c>
      <c r="G14" s="6">
        <f t="shared" si="0"/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1">
        <v>0</v>
      </c>
      <c r="N14" s="1">
        <f t="shared" si="5"/>
        <v>0</v>
      </c>
      <c r="O14" s="1">
        <f t="shared" si="6"/>
        <v>0</v>
      </c>
      <c r="P14" s="3" t="str">
        <f t="shared" si="7"/>
        <v>_Buen día Santana viviana! Le paso el saldo pendiente:_</v>
      </c>
      <c r="Q14" s="3" t="str">
        <f t="shared" si="8"/>
        <v>*DETALLE DE CUENTA:*
0 bidones de 12l
0 bidones de 20l
0 sodas
0 jugo
0 envase
0 extra
*TOTAL:*$0,00
*SALDO ANTERIOR:*$0,00
*MONTO TOTAL ADEUDADO:*$0,00</v>
      </c>
      <c r="R14" s="3" t="str">
        <f t="shared" si="1"/>
        <v>_Buen día Santana viviana! Le paso el saldo pendiente:_
*DETALLE DE CUENTA:*
0 bidones de 12l
0 bidones de 20l
0 sodas
0 jugo
0 envase
0 extra
*TOTAL:*$0,00
*SALDO ANTERIOR:*$0,00
*MONTO TOTAL ADEUDADO:*$0,00</v>
      </c>
      <c r="T14" s="3" t="str">
        <f t="shared" si="2"/>
        <v>_Buen día Santana viviana_</v>
      </c>
      <c r="U14" s="3" t="s">
        <v>54</v>
      </c>
      <c r="V14" s="3" t="str">
        <f t="shared" si="9"/>
        <v>_Buen día Santana viviana_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5" spans="1:23" x14ac:dyDescent="0.35">
      <c r="A15" s="15"/>
      <c r="B15" s="2">
        <v>14</v>
      </c>
      <c r="C15" s="2" t="s">
        <v>123</v>
      </c>
      <c r="D15" s="2">
        <v>3435165965</v>
      </c>
      <c r="E15" s="2" t="str">
        <f t="shared" si="4"/>
        <v>5493435165965</v>
      </c>
      <c r="F15" s="1">
        <v>0</v>
      </c>
      <c r="G15" s="6">
        <f t="shared" si="0"/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1">
        <v>0</v>
      </c>
      <c r="N15" s="1">
        <f t="shared" si="5"/>
        <v>0</v>
      </c>
      <c r="O15" s="1">
        <f t="shared" si="6"/>
        <v>0</v>
      </c>
      <c r="P15" s="3" t="str">
        <f t="shared" si="7"/>
        <v>_Buen día Adrian Kalesnik! Le paso el saldo pendiente:_</v>
      </c>
      <c r="Q15" s="3" t="str">
        <f t="shared" si="8"/>
        <v>*DETALLE DE CUENTA:*
0 bidones de 12l
0 bidones de 20l
0 sodas
0 jugo
0 envase
0 extra
*TOTAL:*$0,00
*SALDO ANTERIOR:*$0,00
*MONTO TOTAL ADEUDADO:*$0,00</v>
      </c>
      <c r="R15" s="3" t="str">
        <f t="shared" si="1"/>
        <v>_Buen día Adrian Kalesnik! Le paso el saldo pendiente:_
*DETALLE DE CUENTA:*
0 bidones de 12l
0 bidones de 20l
0 sodas
0 jugo
0 envase
0 extra
*TOTAL:*$0,00
*SALDO ANTERIOR:*$0,00
*MONTO TOTAL ADEUDADO:*$0,00</v>
      </c>
      <c r="T15" s="3" t="str">
        <f t="shared" si="2"/>
        <v>_Buen día Adrian Kalesnik_</v>
      </c>
    </row>
    <row r="16" spans="1:23" s="5" customFormat="1" x14ac:dyDescent="0.35">
      <c r="A16" s="15"/>
      <c r="B16" s="4">
        <v>19</v>
      </c>
      <c r="C16" s="4" t="s">
        <v>25</v>
      </c>
      <c r="D16" s="4">
        <v>3434669256</v>
      </c>
      <c r="E16" s="4" t="str">
        <f t="shared" si="4"/>
        <v>5493434669256</v>
      </c>
      <c r="F16" s="1">
        <v>0</v>
      </c>
      <c r="G16" s="6">
        <f t="shared" si="0"/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1">
        <v>0</v>
      </c>
      <c r="N16" s="1">
        <f t="shared" si="5"/>
        <v>0</v>
      </c>
      <c r="O16" s="1">
        <f t="shared" si="6"/>
        <v>0</v>
      </c>
      <c r="P16" s="5" t="str">
        <f t="shared" si="7"/>
        <v>_Buen día Sandra Carina Alvarado ! Le paso el saldo pendiente:_</v>
      </c>
      <c r="Q16" s="5" t="str">
        <f t="shared" si="8"/>
        <v>*DETALLE DE CUENTA:*
0 bidones de 12l
0 bidones de 20l
0 sodas
0 jugo
0 envase
0 extra
*TOTAL:*$0,00
*SALDO ANTERIOR:*$0,00
*MONTO TOTAL ADEUDADO:*$0,00</v>
      </c>
      <c r="R16" s="5" t="str">
        <f t="shared" si="1"/>
        <v>_Buen día Sandra Carina Alvarado ! Le paso el saldo pendiente:_
*DETALLE DE CUENTA:*
0 bidones de 12l
0 bidones de 20l
0 sodas
0 jugo
0 envase
0 extra
*TOTAL:*$0,00
*SALDO ANTERIOR:*$0,00
*MONTO TOTAL ADEUDADO:*$0,00</v>
      </c>
      <c r="T16" s="5" t="str">
        <f t="shared" si="2"/>
        <v>_Buen día Sandra Carina Alvarado _</v>
      </c>
      <c r="U16" s="5" t="s">
        <v>54</v>
      </c>
      <c r="V16" s="5" t="str">
        <f t="shared" ref="V16" si="10">CONCATENATE(T16,U16)</f>
        <v>_Buen día Sandra Carina Alvarado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7" spans="1:22" s="3" customFormat="1" x14ac:dyDescent="0.35">
      <c r="A17" s="15"/>
      <c r="B17" s="2">
        <v>15</v>
      </c>
      <c r="C17" s="2" t="s">
        <v>26</v>
      </c>
      <c r="D17" s="2">
        <v>3435207892</v>
      </c>
      <c r="E17" s="2" t="str">
        <f t="shared" si="4"/>
        <v>5493435207892</v>
      </c>
      <c r="F17" s="1">
        <v>0</v>
      </c>
      <c r="G17" s="6">
        <f t="shared" si="0"/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1">
        <v>0</v>
      </c>
      <c r="N17" s="1">
        <f t="shared" si="5"/>
        <v>0</v>
      </c>
      <c r="O17" s="1">
        <f t="shared" si="6"/>
        <v>0</v>
      </c>
      <c r="P17" s="3" t="str">
        <f t="shared" si="7"/>
        <v>_Buen día Nestor Filippo! Le paso el saldo pendiente:_</v>
      </c>
      <c r="Q17" s="3" t="str">
        <f t="shared" si="8"/>
        <v>*DETALLE DE CUENTA:*
0 bidones de 12l
0 bidones de 20l
0 sodas
0 jugo
0 envase
0 extra
*TOTAL:*$0,00
*SALDO ANTERIOR:*$0,00
*MONTO TOTAL ADEUDADO:*$0,00</v>
      </c>
      <c r="R17" s="3" t="str">
        <f t="shared" si="1"/>
        <v>_Buen día Nestor Filippo! Le paso el saldo pendiente:_
*DETALLE DE CUENTA:*
0 bidones de 12l
0 bidones de 20l
0 sodas
0 jugo
0 envase
0 extra
*TOTAL:*$0,00
*SALDO ANTERIOR:*$0,00
*MONTO TOTAL ADEUDADO:*$0,00</v>
      </c>
      <c r="T17" s="3" t="str">
        <f t="shared" si="2"/>
        <v>_Buen día Nestor Filippo_</v>
      </c>
      <c r="U17" s="3" t="s">
        <v>54</v>
      </c>
      <c r="V17" s="3" t="str">
        <f t="shared" ref="V17:V24" si="11">CONCATENATE(T17,U17)</f>
        <v>_Buen día Nestor Filippo_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8" spans="1:22" s="3" customFormat="1" x14ac:dyDescent="0.35">
      <c r="A18" s="15"/>
      <c r="B18" s="2">
        <v>16</v>
      </c>
      <c r="C18" s="2" t="s">
        <v>27</v>
      </c>
      <c r="D18" s="2">
        <v>3434532975</v>
      </c>
      <c r="E18" s="2" t="str">
        <f t="shared" si="4"/>
        <v>5493434532975</v>
      </c>
      <c r="F18" s="1">
        <v>0</v>
      </c>
      <c r="G18" s="6">
        <f t="shared" si="0"/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1">
        <v>0</v>
      </c>
      <c r="N18" s="1">
        <f t="shared" si="5"/>
        <v>0</v>
      </c>
      <c r="O18" s="1">
        <f t="shared" si="6"/>
        <v>0</v>
      </c>
      <c r="P18" s="3" t="str">
        <f t="shared" si="7"/>
        <v>_Buen día Pedro Martínez ! Le paso el saldo pendiente:_</v>
      </c>
      <c r="Q18" s="3" t="str">
        <f t="shared" si="8"/>
        <v>*DETALLE DE CUENTA:*
0 bidones de 12l
0 bidones de 20l
0 sodas
0 jugo
0 envase
0 extra
*TOTAL:*$0,00
*SALDO ANTERIOR:*$0,00
*MONTO TOTAL ADEUDADO:*$0,00</v>
      </c>
      <c r="R18" s="3" t="str">
        <f t="shared" si="1"/>
        <v>_Buen día Pedro Martínez ! Le paso el saldo pendiente:_
*DETALLE DE CUENTA:*
0 bidones de 12l
0 bidones de 20l
0 sodas
0 jugo
0 envase
0 extra
*TOTAL:*$0,00
*SALDO ANTERIOR:*$0,00
*MONTO TOTAL ADEUDADO:*$0,00</v>
      </c>
      <c r="T18" s="3" t="str">
        <f t="shared" si="2"/>
        <v>_Buen día Pedro Martínez _</v>
      </c>
      <c r="U18" s="3" t="s">
        <v>54</v>
      </c>
      <c r="V18" s="3" t="str">
        <f t="shared" si="11"/>
        <v>_Buen día Pedro Martínez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9" spans="1:22" s="3" customFormat="1" x14ac:dyDescent="0.35">
      <c r="A19" s="15"/>
      <c r="B19" s="2">
        <v>17</v>
      </c>
      <c r="C19" s="2" t="s">
        <v>28</v>
      </c>
      <c r="D19" s="2">
        <v>3435308078</v>
      </c>
      <c r="E19" s="2" t="str">
        <f t="shared" si="4"/>
        <v>5493435308078</v>
      </c>
      <c r="F19" s="1">
        <v>0</v>
      </c>
      <c r="G19" s="6">
        <f t="shared" si="0"/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1">
        <v>0</v>
      </c>
      <c r="N19" s="1">
        <f t="shared" si="5"/>
        <v>0</v>
      </c>
      <c r="O19" s="1">
        <f t="shared" si="6"/>
        <v>0</v>
      </c>
      <c r="P19" s="3" t="str">
        <f t="shared" si="7"/>
        <v>_Buen día Cuello Marisol ! Le paso el saldo pendiente:_</v>
      </c>
      <c r="Q19" s="3" t="str">
        <f t="shared" si="8"/>
        <v>*DETALLE DE CUENTA:*
0 bidones de 12l
0 bidones de 20l
0 sodas
0 jugo
0 envase
0 extra
*TOTAL:*$0,00
*SALDO ANTERIOR:*$0,00
*MONTO TOTAL ADEUDADO:*$0,00</v>
      </c>
      <c r="R19" s="3" t="str">
        <f t="shared" si="1"/>
        <v>_Buen día Cuello Marisol ! Le paso el saldo pendiente:_
*DETALLE DE CUENTA:*
0 bidones de 12l
0 bidones de 20l
0 sodas
0 jugo
0 envase
0 extra
*TOTAL:*$0,00
*SALDO ANTERIOR:*$0,00
*MONTO TOTAL ADEUDADO:*$0,00</v>
      </c>
      <c r="T19" s="3" t="str">
        <f t="shared" si="2"/>
        <v>_Buen día Cuello Marisol _</v>
      </c>
      <c r="U19" s="3" t="s">
        <v>54</v>
      </c>
      <c r="V19" s="3" t="str">
        <f t="shared" si="11"/>
        <v>_Buen día Cuello Marisol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20" spans="1:22" s="3" customFormat="1" x14ac:dyDescent="0.35">
      <c r="A20" s="15"/>
      <c r="B20" s="2">
        <v>18</v>
      </c>
      <c r="C20" s="2" t="s">
        <v>29</v>
      </c>
      <c r="D20" s="2">
        <v>3434601669</v>
      </c>
      <c r="E20" s="2" t="str">
        <f t="shared" si="4"/>
        <v>5493434601669</v>
      </c>
      <c r="F20" s="1">
        <v>0</v>
      </c>
      <c r="G20" s="6">
        <f t="shared" si="0"/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">
        <v>0</v>
      </c>
      <c r="N20" s="1">
        <f t="shared" si="5"/>
        <v>0</v>
      </c>
      <c r="O20" s="1">
        <f t="shared" si="6"/>
        <v>0</v>
      </c>
      <c r="P20" s="3" t="str">
        <f t="shared" si="7"/>
        <v>_Buen día Estapé Juan Pablo! Le paso el saldo pendiente:_</v>
      </c>
      <c r="Q20" s="3" t="str">
        <f t="shared" si="8"/>
        <v>*DETALLE DE CUENTA:*
0 bidones de 12l
0 bidones de 20l
0 sodas
0 jugo
0 envase
0 extra
*TOTAL:*$0,00
*SALDO ANTERIOR:*$0,00
*MONTO TOTAL ADEUDADO:*$0,00</v>
      </c>
      <c r="R20" s="3" t="str">
        <f t="shared" si="1"/>
        <v>_Buen día Estapé Juan Pablo! Le paso el saldo pendiente:_
*DETALLE DE CUENTA:*
0 bidones de 12l
0 bidones de 20l
0 sodas
0 jugo
0 envase
0 extra
*TOTAL:*$0,00
*SALDO ANTERIOR:*$0,00
*MONTO TOTAL ADEUDADO:*$0,00</v>
      </c>
      <c r="T20" s="3" t="str">
        <f t="shared" si="2"/>
        <v>_Buen día Estapé Juan Pablo_</v>
      </c>
      <c r="U20" s="3" t="s">
        <v>54</v>
      </c>
      <c r="V20" s="3" t="str">
        <f t="shared" si="11"/>
        <v>_Buen día Estapé Juan Pablo_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21" spans="1:22" s="3" customFormat="1" x14ac:dyDescent="0.35">
      <c r="A21" s="15"/>
      <c r="B21" s="2">
        <v>19</v>
      </c>
      <c r="C21" s="2" t="s">
        <v>126</v>
      </c>
      <c r="D21" s="2">
        <v>3434685952</v>
      </c>
      <c r="E21" s="2" t="str">
        <f t="shared" si="4"/>
        <v>5493434685952</v>
      </c>
      <c r="F21" s="1">
        <v>0</v>
      </c>
      <c r="G21" s="6">
        <f t="shared" si="0"/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1">
        <v>0</v>
      </c>
      <c r="N21" s="1">
        <f t="shared" si="5"/>
        <v>0</v>
      </c>
      <c r="O21" s="1">
        <f t="shared" si="6"/>
        <v>0</v>
      </c>
      <c r="P21" s="3" t="str">
        <f t="shared" si="7"/>
        <v>_Buen día Ledehros Valentin! Le paso el saldo pendiente:_</v>
      </c>
      <c r="Q21" s="3" t="str">
        <f t="shared" si="8"/>
        <v>*DETALLE DE CUENTA:*
0 bidones de 12l
0 bidones de 20l
0 sodas
0 jugo
0 envase
0 extra
*TOTAL:*$0,00
*SALDO ANTERIOR:*$0,00
*MONTO TOTAL ADEUDADO:*$0,00</v>
      </c>
      <c r="R21" s="3" t="str">
        <f t="shared" si="1"/>
        <v>_Buen día Ledehros Valentin! Le paso el saldo pendiente:_
*DETALLE DE CUENTA:*
0 bidones de 12l
0 bidones de 20l
0 sodas
0 jugo
0 envase
0 extra
*TOTAL:*$0,00
*SALDO ANTERIOR:*$0,00
*MONTO TOTAL ADEUDADO:*$0,00</v>
      </c>
      <c r="T21" s="3" t="str">
        <f t="shared" si="2"/>
        <v>_Buen día Ledehros Valentin_</v>
      </c>
    </row>
    <row r="22" spans="1:22" s="3" customFormat="1" x14ac:dyDescent="0.35">
      <c r="A22" s="15"/>
      <c r="B22" s="2">
        <v>20</v>
      </c>
      <c r="C22" s="2" t="s">
        <v>30</v>
      </c>
      <c r="D22" s="2">
        <v>3434550715</v>
      </c>
      <c r="E22" s="2" t="str">
        <f t="shared" si="4"/>
        <v>5493434550715</v>
      </c>
      <c r="F22" s="1">
        <v>0</v>
      </c>
      <c r="G22" s="6">
        <f t="shared" si="0"/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1">
        <v>0</v>
      </c>
      <c r="N22" s="1">
        <f t="shared" si="5"/>
        <v>0</v>
      </c>
      <c r="O22" s="1">
        <f t="shared" si="6"/>
        <v>0</v>
      </c>
      <c r="P22" s="3" t="str">
        <f t="shared" si="7"/>
        <v>_Buen día Nadia Benavidez ! Le paso el saldo pendiente:_</v>
      </c>
      <c r="Q22" s="3" t="str">
        <f t="shared" si="8"/>
        <v>*DETALLE DE CUENTA:*
0 bidones de 12l
0 bidones de 20l
0 sodas
0 jugo
0 envase
0 extra
*TOTAL:*$0,00
*SALDO ANTERIOR:*$0,00
*MONTO TOTAL ADEUDADO:*$0,00</v>
      </c>
      <c r="R22" s="3" t="str">
        <f t="shared" si="1"/>
        <v>_Buen día Nadia Benavidez ! Le paso el saldo pendiente:_
*DETALLE DE CUENTA:*
0 bidones de 12l
0 bidones de 20l
0 sodas
0 jugo
0 envase
0 extra
*TOTAL:*$0,00
*SALDO ANTERIOR:*$0,00
*MONTO TOTAL ADEUDADO:*$0,00</v>
      </c>
      <c r="T22" s="3" t="str">
        <f t="shared" si="2"/>
        <v>_Buen día Nadia Benavidez _</v>
      </c>
      <c r="U22" s="3" t="s">
        <v>54</v>
      </c>
      <c r="V22" s="3" t="str">
        <f t="shared" si="11"/>
        <v>_Buen día Nadia Benavidez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23" spans="1:22" s="3" customFormat="1" x14ac:dyDescent="0.35">
      <c r="A23" s="15"/>
      <c r="B23" s="2">
        <v>21</v>
      </c>
      <c r="C23" s="2" t="s">
        <v>32</v>
      </c>
      <c r="D23" s="2">
        <v>3434479748</v>
      </c>
      <c r="E23" s="2" t="str">
        <f t="shared" si="4"/>
        <v>5493434479748</v>
      </c>
      <c r="F23" s="1">
        <v>0</v>
      </c>
      <c r="G23" s="6">
        <f t="shared" si="0"/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1">
        <v>0</v>
      </c>
      <c r="N23" s="1">
        <f t="shared" si="5"/>
        <v>0</v>
      </c>
      <c r="O23" s="1">
        <f t="shared" si="6"/>
        <v>0</v>
      </c>
      <c r="P23" s="3" t="str">
        <f t="shared" si="7"/>
        <v>_Buen día Claudia Gareis! Le paso el saldo pendiente:_</v>
      </c>
      <c r="Q23" s="3" t="str">
        <f t="shared" si="8"/>
        <v>*DETALLE DE CUENTA:*
0 bidones de 12l
0 bidones de 20l
0 sodas
0 jugo
0 envase
0 extra
*TOTAL:*$0,00
*SALDO ANTERIOR:*$0,00
*MONTO TOTAL ADEUDADO:*$0,00</v>
      </c>
      <c r="R23" s="3" t="str">
        <f t="shared" si="1"/>
        <v>_Buen día Claudia Gareis! Le paso el saldo pendiente:_
*DETALLE DE CUENTA:*
0 bidones de 12l
0 bidones de 20l
0 sodas
0 jugo
0 envase
0 extra
*TOTAL:*$0,00
*SALDO ANTERIOR:*$0,00
*MONTO TOTAL ADEUDADO:*$0,00</v>
      </c>
      <c r="T23" s="3" t="str">
        <f t="shared" si="2"/>
        <v>_Buen día Claudia Gareis_</v>
      </c>
      <c r="U23" s="3" t="s">
        <v>54</v>
      </c>
      <c r="V23" s="3" t="str">
        <f t="shared" si="11"/>
        <v>_Buen día Claudia Gareis_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24" spans="1:22" s="3" customFormat="1" x14ac:dyDescent="0.35">
      <c r="A24" s="15"/>
      <c r="B24" s="2">
        <v>22</v>
      </c>
      <c r="C24" s="2" t="s">
        <v>33</v>
      </c>
      <c r="D24" s="2">
        <v>3434764021</v>
      </c>
      <c r="E24" s="2" t="str">
        <f t="shared" si="4"/>
        <v>5493434764021</v>
      </c>
      <c r="F24" s="1">
        <v>0</v>
      </c>
      <c r="G24" s="6">
        <f t="shared" si="0"/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1">
        <v>0</v>
      </c>
      <c r="N24" s="1">
        <f t="shared" si="5"/>
        <v>0</v>
      </c>
      <c r="O24" s="1">
        <f t="shared" si="6"/>
        <v>0</v>
      </c>
      <c r="P24" s="3" t="str">
        <f t="shared" si="7"/>
        <v>_Buen día Ocampo Oscar Osvaldo! Le paso el saldo pendiente:_</v>
      </c>
      <c r="Q24" s="3" t="str">
        <f t="shared" si="8"/>
        <v>*DETALLE DE CUENTA:*
0 bidones de 12l
0 bidones de 20l
0 sodas
0 jugo
0 envase
0 extra
*TOTAL:*$0,00
*SALDO ANTERIOR:*$0,00
*MONTO TOTAL ADEUDADO:*$0,00</v>
      </c>
      <c r="R24" s="3" t="str">
        <f t="shared" si="1"/>
        <v>_Buen día Ocampo Oscar Osvaldo! Le paso el saldo pendiente:_
*DETALLE DE CUENTA:*
0 bidones de 12l
0 bidones de 20l
0 sodas
0 jugo
0 envase
0 extra
*TOTAL:*$0,00
*SALDO ANTERIOR:*$0,00
*MONTO TOTAL ADEUDADO:*$0,00</v>
      </c>
      <c r="T24" s="3" t="str">
        <f t="shared" si="2"/>
        <v>_Buen día Ocampo Oscar Osvaldo_</v>
      </c>
      <c r="U24" s="3" t="s">
        <v>54</v>
      </c>
      <c r="V24" s="3" t="str">
        <f t="shared" si="11"/>
        <v>_Buen día Ocampo Oscar Osvaldo_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25" spans="1:22" s="3" customFormat="1" x14ac:dyDescent="0.35">
      <c r="A25" s="15"/>
      <c r="B25" s="2">
        <v>23</v>
      </c>
      <c r="C25" s="2" t="s">
        <v>31</v>
      </c>
      <c r="D25" s="2">
        <v>3434689445</v>
      </c>
      <c r="E25" s="2" t="str">
        <f>CONCATENATE("549",D25)</f>
        <v>5493434689445</v>
      </c>
      <c r="F25" s="1">
        <v>0</v>
      </c>
      <c r="G25" s="6">
        <f t="shared" si="0"/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1">
        <v>0</v>
      </c>
      <c r="N25" s="1">
        <f t="shared" si="5"/>
        <v>0</v>
      </c>
      <c r="O25" s="1">
        <f t="shared" si="6"/>
        <v>0</v>
      </c>
      <c r="P25" s="3" t="str">
        <f t="shared" si="7"/>
        <v>_Buen día Carolina retamar! Le paso el saldo pendiente:_</v>
      </c>
      <c r="Q25" s="3" t="str">
        <f t="shared" si="8"/>
        <v>*DETALLE DE CUENTA:*
0 bidones de 12l
0 bidones de 20l
0 sodas
0 jugo
0 envase
0 extra
*TOTAL:*$0,00
*SALDO ANTERIOR:*$0,00
*MONTO TOTAL ADEUDADO:*$0,00</v>
      </c>
      <c r="R25" s="3" t="str">
        <f t="shared" si="1"/>
        <v>_Buen día Carolina retamar! Le paso el saldo pendiente:_
*DETALLE DE CUENTA:*
0 bidones de 12l
0 bidones de 20l
0 sodas
0 jugo
0 envase
0 extra
*TOTAL:*$0,00
*SALDO ANTERIOR:*$0,00
*MONTO TOTAL ADEUDADO:*$0,00</v>
      </c>
      <c r="T25" s="3" t="str">
        <f>CONCATENATE("_Buen día ",C25,"_")</f>
        <v>_Buen día Carolina retamar_</v>
      </c>
      <c r="U25" s="3" t="s">
        <v>54</v>
      </c>
      <c r="V25" s="3" t="str">
        <f>CONCATENATE(T25,U25)</f>
        <v>_Buen día Carolina retamar_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26" spans="1:22" s="3" customFormat="1" x14ac:dyDescent="0.35">
      <c r="A26" s="15"/>
      <c r="B26" s="2">
        <v>24</v>
      </c>
      <c r="C26" s="2" t="s">
        <v>34</v>
      </c>
      <c r="D26" s="2">
        <v>3434611335</v>
      </c>
      <c r="E26" s="2" t="str">
        <f t="shared" ref="E26:E89" si="12">CONCATENATE("549",D26)</f>
        <v>5493434611335</v>
      </c>
      <c r="F26" s="1">
        <v>0</v>
      </c>
      <c r="G26" s="6">
        <f t="shared" si="0"/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1">
        <v>0</v>
      </c>
      <c r="N26" s="1">
        <f t="shared" si="5"/>
        <v>0</v>
      </c>
      <c r="O26" s="1">
        <f t="shared" si="6"/>
        <v>0</v>
      </c>
      <c r="P26" s="3" t="str">
        <f t="shared" si="7"/>
        <v>_Buen día Jesica Betiana Narvaez! Le paso el saldo pendiente:_</v>
      </c>
      <c r="Q26" s="3" t="str">
        <f t="shared" si="8"/>
        <v>*DETALLE DE CUENTA:*
0 bidones de 12l
0 bidones de 20l
0 sodas
0 jugo
0 envase
0 extra
*TOTAL:*$0,00
*SALDO ANTERIOR:*$0,00
*MONTO TOTAL ADEUDADO:*$0,00</v>
      </c>
      <c r="R26" s="3" t="str">
        <f t="shared" si="1"/>
        <v>_Buen día Jesica Betiana Narvaez! Le paso el saldo pendiente:_
*DETALLE DE CUENTA:*
0 bidones de 12l
0 bidones de 20l
0 sodas
0 jugo
0 envase
0 extra
*TOTAL:*$0,00
*SALDO ANTERIOR:*$0,00
*MONTO TOTAL ADEUDADO:*$0,00</v>
      </c>
      <c r="T26" s="3" t="str">
        <f t="shared" ref="T26" si="13">CONCATENATE("_Buen día ",C26,"_")</f>
        <v>_Buen día Jesica Betiana Narvaez_</v>
      </c>
      <c r="U26" s="3" t="s">
        <v>54</v>
      </c>
      <c r="V26" s="3" t="str">
        <f t="shared" ref="V26" si="14">CONCATENATE(T26,U26)</f>
        <v>_Buen día Jesica Betiana Narvaez_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27" spans="1:22" s="9" customFormat="1" x14ac:dyDescent="0.35">
      <c r="A27" s="15"/>
      <c r="B27" s="2">
        <v>25</v>
      </c>
      <c r="C27" s="8" t="s">
        <v>114</v>
      </c>
      <c r="D27" s="8">
        <v>3434605469</v>
      </c>
      <c r="E27" s="8" t="str">
        <f t="shared" si="12"/>
        <v>5493434605469</v>
      </c>
      <c r="F27" s="1">
        <v>0</v>
      </c>
      <c r="G27" s="6">
        <f t="shared" si="0"/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1">
        <v>0</v>
      </c>
      <c r="N27" s="1">
        <f t="shared" si="5"/>
        <v>0</v>
      </c>
      <c r="O27" s="1">
        <f t="shared" si="6"/>
        <v>0</v>
      </c>
      <c r="P27" s="3" t="str">
        <f t="shared" si="7"/>
        <v>_Buen día ~Gise! Le paso el saldo pendiente:_</v>
      </c>
      <c r="Q27" s="3" t="str">
        <f t="shared" si="8"/>
        <v>*DETALLE DE CUENTA:*
0 bidones de 12l
0 bidones de 20l
0 sodas
0 jugo
0 envase
0 extra
*TOTAL:*$0,00
*SALDO ANTERIOR:*$0,00
*MONTO TOTAL ADEUDADO:*$0,00</v>
      </c>
      <c r="R27" s="3" t="str">
        <f t="shared" si="1"/>
        <v>_Buen día ~Gise! Le paso el saldo pendiente:_
*DETALLE DE CUENTA:*
0 bidones de 12l
0 bidones de 20l
0 sodas
0 jugo
0 envase
0 extra
*TOTAL:*$0,00
*SALDO ANTERIOR:*$0,00
*MONTO TOTAL ADEUDADO:*$0,00</v>
      </c>
      <c r="S27" s="9" t="s">
        <v>54</v>
      </c>
      <c r="T27" s="9" t="str">
        <f t="shared" ref="T27" si="15">CONCATENATE(R27,S27)</f>
        <v>_Buen día ~Gise! Le paso el saldo pendiente:_
*DETALLE DE CUENTA:*
0 bidones de 12l
0 bidones de 20l
0 sodas
0 jugo
0 envase
0 extra
*TOTAL:*$0,00
*SALDO ANTERIOR:*$0,00
*MONTO TOTAL ADEUDADO:*$0,00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28" spans="1:22" s="3" customFormat="1" x14ac:dyDescent="0.35">
      <c r="A28" s="15"/>
      <c r="B28" s="2">
        <v>26</v>
      </c>
      <c r="C28" s="2" t="s">
        <v>68</v>
      </c>
      <c r="D28" s="2">
        <v>3498458249</v>
      </c>
      <c r="E28" s="2" t="str">
        <f t="shared" si="12"/>
        <v>5493498458249</v>
      </c>
      <c r="F28" s="1">
        <v>0</v>
      </c>
      <c r="G28" s="6">
        <f t="shared" si="0"/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1">
        <v>0</v>
      </c>
      <c r="N28" s="1">
        <f t="shared" si="5"/>
        <v>0</v>
      </c>
      <c r="O28" s="1">
        <f t="shared" si="6"/>
        <v>0</v>
      </c>
      <c r="P28" s="3" t="str">
        <f t="shared" si="7"/>
        <v>_Buen día Cardelino Federico! Le paso el saldo pendiente:_</v>
      </c>
      <c r="Q28" s="3" t="str">
        <f t="shared" si="8"/>
        <v>*DETALLE DE CUENTA:*
0 bidones de 12l
0 bidones de 20l
0 sodas
0 jugo
0 envase
0 extra
*TOTAL:*$0,00
*SALDO ANTERIOR:*$0,00
*MONTO TOTAL ADEUDADO:*$0,00</v>
      </c>
      <c r="R28" s="3" t="str">
        <f t="shared" si="1"/>
        <v>_Buen día Cardelino Federico! Le paso el saldo pendiente:_
*DETALLE DE CUENTA:*
0 bidones de 12l
0 bidones de 20l
0 sodas
0 jugo
0 envase
0 extra
*TOTAL:*$0,00
*SALDO ANTERIOR:*$0,00
*MONTO TOTAL ADEUDADO:*$0,00</v>
      </c>
      <c r="T28" s="3" t="str">
        <f t="shared" ref="T28:T77" si="16">CONCATENATE("_Buen día ",C28,"_")</f>
        <v>_Buen día Cardelino Federico_</v>
      </c>
      <c r="U28" s="3" t="s">
        <v>54</v>
      </c>
      <c r="V28" s="3" t="str">
        <f t="shared" ref="V28:V44" si="17">CONCATENATE(T28,U28)</f>
        <v>_Buen día Cardelino Federico_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29" spans="1:22" s="3" customFormat="1" x14ac:dyDescent="0.35">
      <c r="A29" s="15"/>
      <c r="B29" s="2">
        <v>27</v>
      </c>
      <c r="C29" s="2" t="s">
        <v>35</v>
      </c>
      <c r="D29" s="2">
        <v>3436202156</v>
      </c>
      <c r="E29" s="2" t="str">
        <f t="shared" si="12"/>
        <v>5493436202156</v>
      </c>
      <c r="F29" s="1">
        <v>0</v>
      </c>
      <c r="G29" s="6">
        <f t="shared" si="0"/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1">
        <v>0</v>
      </c>
      <c r="N29" s="1">
        <f t="shared" si="5"/>
        <v>0</v>
      </c>
      <c r="O29" s="1">
        <f t="shared" si="6"/>
        <v>0</v>
      </c>
      <c r="P29" s="3" t="str">
        <f t="shared" si="7"/>
        <v>_Buen día Mónica Acevedo! Le paso el saldo pendiente:_</v>
      </c>
      <c r="Q29" s="3" t="str">
        <f t="shared" si="8"/>
        <v>*DETALLE DE CUENTA:*
0 bidones de 12l
0 bidones de 20l
0 sodas
0 jugo
0 envase
0 extra
*TOTAL:*$0,00
*SALDO ANTERIOR:*$0,00
*MONTO TOTAL ADEUDADO:*$0,00</v>
      </c>
      <c r="R29" s="3" t="str">
        <f t="shared" si="1"/>
        <v>_Buen día Mónica Acevedo! Le paso el saldo pendiente:_
*DETALLE DE CUENTA:*
0 bidones de 12l
0 bidones de 20l
0 sodas
0 jugo
0 envase
0 extra
*TOTAL:*$0,00
*SALDO ANTERIOR:*$0,00
*MONTO TOTAL ADEUDADO:*$0,00</v>
      </c>
      <c r="T29" s="3" t="str">
        <f t="shared" si="16"/>
        <v>_Buen día Mónica Acevedo_</v>
      </c>
      <c r="U29" s="3" t="s">
        <v>54</v>
      </c>
      <c r="V29" s="3" t="str">
        <f t="shared" si="17"/>
        <v>_Buen día Mónica Acevedo_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30" spans="1:22" s="3" customFormat="1" x14ac:dyDescent="0.35">
      <c r="A30" s="15"/>
      <c r="B30" s="2">
        <v>28</v>
      </c>
      <c r="C30" s="2" t="s">
        <v>36</v>
      </c>
      <c r="D30" s="2">
        <v>3435022215</v>
      </c>
      <c r="E30" s="2" t="str">
        <f t="shared" si="12"/>
        <v>5493435022215</v>
      </c>
      <c r="F30" s="1">
        <v>0</v>
      </c>
      <c r="G30" s="6">
        <f t="shared" si="0"/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1">
        <v>0</v>
      </c>
      <c r="N30" s="1">
        <f t="shared" si="5"/>
        <v>0</v>
      </c>
      <c r="O30" s="1">
        <f t="shared" si="6"/>
        <v>0</v>
      </c>
      <c r="P30" s="3" t="str">
        <f t="shared" si="7"/>
        <v>_Buen día Guillermo Vladimir Bustos Ramírez! Le paso el saldo pendiente:_</v>
      </c>
      <c r="Q30" s="3" t="str">
        <f t="shared" si="8"/>
        <v>*DETALLE DE CUENTA:*
0 bidones de 12l
0 bidones de 20l
0 sodas
0 jugo
0 envase
0 extra
*TOTAL:*$0,00
*SALDO ANTERIOR:*$0,00
*MONTO TOTAL ADEUDADO:*$0,00</v>
      </c>
      <c r="R30" s="3" t="str">
        <f t="shared" si="1"/>
        <v>_Buen día Guillermo Vladimir Bustos Ramírez! Le paso el saldo pendiente:_
*DETALLE DE CUENTA:*
0 bidones de 12l
0 bidones de 20l
0 sodas
0 jugo
0 envase
0 extra
*TOTAL:*$0,00
*SALDO ANTERIOR:*$0,00
*MONTO TOTAL ADEUDADO:*$0,00</v>
      </c>
      <c r="T30" s="3" t="str">
        <f t="shared" si="16"/>
        <v>_Buen día Guillermo Vladimir Bustos Ramírez_</v>
      </c>
      <c r="U30" s="3" t="s">
        <v>54</v>
      </c>
      <c r="V30" s="3" t="str">
        <f t="shared" si="17"/>
        <v>_Buen día Guillermo Vladimir Bustos Ramírez_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31" spans="1:22" s="3" customFormat="1" x14ac:dyDescent="0.35">
      <c r="A31" s="15"/>
      <c r="B31" s="2">
        <v>29</v>
      </c>
      <c r="C31" s="2" t="s">
        <v>37</v>
      </c>
      <c r="D31" s="2">
        <v>3435320937</v>
      </c>
      <c r="E31" s="2" t="str">
        <f t="shared" si="12"/>
        <v>5493435320937</v>
      </c>
      <c r="F31" s="1">
        <v>0</v>
      </c>
      <c r="G31" s="6">
        <f t="shared" si="0"/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1">
        <v>0</v>
      </c>
      <c r="N31" s="1">
        <f t="shared" si="5"/>
        <v>0</v>
      </c>
      <c r="O31" s="1">
        <f t="shared" si="6"/>
        <v>0</v>
      </c>
      <c r="P31" s="3" t="str">
        <f t="shared" si="7"/>
        <v>_Buen día Ricardo Miguel Almarante! Le paso el saldo pendiente:_</v>
      </c>
      <c r="Q31" s="3" t="str">
        <f t="shared" si="8"/>
        <v>*DETALLE DE CUENTA:*
0 bidones de 12l
0 bidones de 20l
0 sodas
0 jugo
0 envase
0 extra
*TOTAL:*$0,00
*SALDO ANTERIOR:*$0,00
*MONTO TOTAL ADEUDADO:*$0,00</v>
      </c>
      <c r="R31" s="3" t="str">
        <f t="shared" si="1"/>
        <v>_Buen día Ricardo Miguel Almarante! Le paso el saldo pendiente:_
*DETALLE DE CUENTA:*
0 bidones de 12l
0 bidones de 20l
0 sodas
0 jugo
0 envase
0 extra
*TOTAL:*$0,00
*SALDO ANTERIOR:*$0,00
*MONTO TOTAL ADEUDADO:*$0,00</v>
      </c>
      <c r="T31" s="3" t="str">
        <f t="shared" si="16"/>
        <v>_Buen día Ricardo Miguel Almarante_</v>
      </c>
      <c r="U31" s="3" t="s">
        <v>54</v>
      </c>
      <c r="V31" s="3" t="str">
        <f t="shared" si="17"/>
        <v>_Buen día Ricardo Miguel Almarante_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32" spans="1:22" s="3" customFormat="1" x14ac:dyDescent="0.35">
      <c r="A32" s="15"/>
      <c r="B32" s="2">
        <v>30</v>
      </c>
      <c r="C32" s="2" t="s">
        <v>38</v>
      </c>
      <c r="D32" s="2">
        <v>3435431666</v>
      </c>
      <c r="E32" s="2" t="str">
        <f t="shared" si="12"/>
        <v>5493435431666</v>
      </c>
      <c r="F32" s="1">
        <v>0</v>
      </c>
      <c r="G32" s="6">
        <f t="shared" si="0"/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1">
        <v>0</v>
      </c>
      <c r="N32" s="1">
        <f t="shared" si="5"/>
        <v>0</v>
      </c>
      <c r="O32" s="1">
        <f t="shared" si="6"/>
        <v>0</v>
      </c>
      <c r="P32" s="3" t="str">
        <f t="shared" si="7"/>
        <v>_Buen día Juan Manuel Giménez ! Le paso el saldo pendiente:_</v>
      </c>
      <c r="Q32" s="3" t="str">
        <f t="shared" si="8"/>
        <v>*DETALLE DE CUENTA:*
0 bidones de 12l
0 bidones de 20l
0 sodas
0 jugo
0 envase
0 extra
*TOTAL:*$0,00
*SALDO ANTERIOR:*$0,00
*MONTO TOTAL ADEUDADO:*$0,00</v>
      </c>
      <c r="R32" s="3" t="str">
        <f t="shared" si="1"/>
        <v>_Buen día Juan Manuel Giménez ! Le paso el saldo pendiente:_
*DETALLE DE CUENTA:*
0 bidones de 12l
0 bidones de 20l
0 sodas
0 jugo
0 envase
0 extra
*TOTAL:*$0,00
*SALDO ANTERIOR:*$0,00
*MONTO TOTAL ADEUDADO:*$0,00</v>
      </c>
      <c r="T32" s="3" t="str">
        <f t="shared" si="16"/>
        <v>_Buen día Juan Manuel Giménez _</v>
      </c>
      <c r="U32" s="3" t="s">
        <v>54</v>
      </c>
      <c r="V32" s="3" t="str">
        <f t="shared" si="17"/>
        <v>_Buen día Juan Manuel Giménez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33" spans="1:22" s="3" customFormat="1" x14ac:dyDescent="0.35">
      <c r="A33" s="15"/>
      <c r="B33" s="2">
        <v>30</v>
      </c>
      <c r="C33" s="2" t="s">
        <v>39</v>
      </c>
      <c r="D33" s="2">
        <v>3434615402</v>
      </c>
      <c r="E33" s="2" t="str">
        <f t="shared" si="12"/>
        <v>5493434615402</v>
      </c>
      <c r="F33" s="1">
        <v>0</v>
      </c>
      <c r="G33" s="6">
        <f t="shared" si="0"/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1">
        <v>0</v>
      </c>
      <c r="N33" s="1">
        <f t="shared" si="5"/>
        <v>0</v>
      </c>
      <c r="O33" s="1">
        <f t="shared" si="6"/>
        <v>0</v>
      </c>
      <c r="P33" s="3" t="str">
        <f t="shared" si="7"/>
        <v>_Buen día Carina Elizabeth Coiz ! Le paso el saldo pendiente:_</v>
      </c>
      <c r="Q33" s="3" t="str">
        <f t="shared" si="8"/>
        <v>*DETALLE DE CUENTA:*
0 bidones de 12l
0 bidones de 20l
0 sodas
0 jugo
0 envase
0 extra
*TOTAL:*$0,00
*SALDO ANTERIOR:*$0,00
*MONTO TOTAL ADEUDADO:*$0,00</v>
      </c>
      <c r="R33" s="3" t="str">
        <f t="shared" si="1"/>
        <v>_Buen día Carina Elizabeth Coiz ! Le paso el saldo pendiente:_
*DETALLE DE CUENTA:*
0 bidones de 12l
0 bidones de 20l
0 sodas
0 jugo
0 envase
0 extra
*TOTAL:*$0,00
*SALDO ANTERIOR:*$0,00
*MONTO TOTAL ADEUDADO:*$0,00</v>
      </c>
      <c r="T33" s="3" t="str">
        <f t="shared" si="16"/>
        <v>_Buen día Carina Elizabeth Coiz _</v>
      </c>
      <c r="U33" s="3" t="s">
        <v>54</v>
      </c>
      <c r="V33" s="3" t="str">
        <f t="shared" si="17"/>
        <v>_Buen día Carina Elizabeth Coiz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34" spans="1:22" s="3" customFormat="1" x14ac:dyDescent="0.35">
      <c r="A34" s="15"/>
      <c r="B34" s="2">
        <v>31</v>
      </c>
      <c r="C34" s="2" t="s">
        <v>40</v>
      </c>
      <c r="D34" s="2">
        <v>3434706908</v>
      </c>
      <c r="E34" s="2" t="str">
        <f t="shared" si="12"/>
        <v>5493434706908</v>
      </c>
      <c r="F34" s="1">
        <v>0</v>
      </c>
      <c r="G34" s="6">
        <f t="shared" si="0"/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1">
        <v>0</v>
      </c>
      <c r="N34" s="1">
        <f t="shared" si="5"/>
        <v>0</v>
      </c>
      <c r="O34" s="1">
        <f t="shared" si="6"/>
        <v>0</v>
      </c>
      <c r="P34" s="3" t="str">
        <f t="shared" si="7"/>
        <v>_Buen día Juan Guris! Le paso el saldo pendiente:_</v>
      </c>
      <c r="Q34" s="3" t="str">
        <f t="shared" si="8"/>
        <v>*DETALLE DE CUENTA:*
0 bidones de 12l
0 bidones de 20l
0 sodas
0 jugo
0 envase
0 extra
*TOTAL:*$0,00
*SALDO ANTERIOR:*$0,00
*MONTO TOTAL ADEUDADO:*$0,00</v>
      </c>
      <c r="R34" s="3" t="str">
        <f t="shared" si="1"/>
        <v>_Buen día Juan Guris! Le paso el saldo pendiente:_
*DETALLE DE CUENTA:*
0 bidones de 12l
0 bidones de 20l
0 sodas
0 jugo
0 envase
0 extra
*TOTAL:*$0,00
*SALDO ANTERIOR:*$0,00
*MONTO TOTAL ADEUDADO:*$0,00</v>
      </c>
      <c r="T34" s="3" t="str">
        <f t="shared" si="16"/>
        <v>_Buen día Juan Guris_</v>
      </c>
      <c r="U34" s="3" t="s">
        <v>54</v>
      </c>
      <c r="V34" s="3" t="str">
        <f t="shared" si="17"/>
        <v>_Buen día Juan Guris_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35" spans="1:22" s="3" customFormat="1" x14ac:dyDescent="0.35">
      <c r="A35" s="15"/>
      <c r="B35" s="2">
        <v>32</v>
      </c>
      <c r="C35" s="2" t="s">
        <v>41</v>
      </c>
      <c r="D35" s="2">
        <v>3434501333</v>
      </c>
      <c r="E35" s="2" t="str">
        <f t="shared" si="12"/>
        <v>5493434501333</v>
      </c>
      <c r="F35" s="1">
        <v>0</v>
      </c>
      <c r="G35" s="6">
        <f t="shared" si="0"/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1">
        <v>0</v>
      </c>
      <c r="N35" s="1">
        <f t="shared" si="5"/>
        <v>0</v>
      </c>
      <c r="O35" s="1">
        <f t="shared" si="6"/>
        <v>0</v>
      </c>
      <c r="P35" s="3" t="str">
        <f t="shared" si="7"/>
        <v>_Buen día Nelson Frank! Le paso el saldo pendiente:_</v>
      </c>
      <c r="Q35" s="3" t="str">
        <f t="shared" si="8"/>
        <v>*DETALLE DE CUENTA:*
0 bidones de 12l
0 bidones de 20l
0 sodas
0 jugo
0 envase
0 extra
*TOTAL:*$0,00
*SALDO ANTERIOR:*$0,00
*MONTO TOTAL ADEUDADO:*$0,00</v>
      </c>
      <c r="R35" s="3" t="str">
        <f t="shared" si="1"/>
        <v>_Buen día Nelson Frank! Le paso el saldo pendiente:_
*DETALLE DE CUENTA:*
0 bidones de 12l
0 bidones de 20l
0 sodas
0 jugo
0 envase
0 extra
*TOTAL:*$0,00
*SALDO ANTERIOR:*$0,00
*MONTO TOTAL ADEUDADO:*$0,00</v>
      </c>
      <c r="T35" s="3" t="str">
        <f t="shared" si="16"/>
        <v>_Buen día Nelson Frank_</v>
      </c>
      <c r="U35" s="3" t="s">
        <v>54</v>
      </c>
      <c r="V35" s="3" t="str">
        <f t="shared" si="17"/>
        <v>_Buen día Nelson Frank_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36" spans="1:22" s="3" customFormat="1" x14ac:dyDescent="0.35">
      <c r="A36" s="15"/>
      <c r="B36" s="2">
        <v>33</v>
      </c>
      <c r="C36" s="2" t="s">
        <v>42</v>
      </c>
      <c r="D36" s="2">
        <v>3434579065</v>
      </c>
      <c r="E36" s="2" t="str">
        <f t="shared" si="12"/>
        <v>5493434579065</v>
      </c>
      <c r="F36" s="1">
        <v>0</v>
      </c>
      <c r="G36" s="6">
        <f t="shared" si="0"/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1">
        <v>0</v>
      </c>
      <c r="N36" s="1">
        <f t="shared" si="5"/>
        <v>0</v>
      </c>
      <c r="O36" s="1">
        <f t="shared" si="6"/>
        <v>0</v>
      </c>
      <c r="P36" s="3" t="str">
        <f t="shared" si="7"/>
        <v>_Buen día Romina Roberto! Le paso el saldo pendiente:_</v>
      </c>
      <c r="Q36" s="3" t="str">
        <f t="shared" si="8"/>
        <v>*DETALLE DE CUENTA:*
0 bidones de 12l
0 bidones de 20l
0 sodas
0 jugo
0 envase
0 extra
*TOTAL:*$0,00
*SALDO ANTERIOR:*$0,00
*MONTO TOTAL ADEUDADO:*$0,00</v>
      </c>
      <c r="R36" s="3" t="str">
        <f t="shared" si="1"/>
        <v>_Buen día Romina Roberto! Le paso el saldo pendiente:_
*DETALLE DE CUENTA:*
0 bidones de 12l
0 bidones de 20l
0 sodas
0 jugo
0 envase
0 extra
*TOTAL:*$0,00
*SALDO ANTERIOR:*$0,00
*MONTO TOTAL ADEUDADO:*$0,00</v>
      </c>
      <c r="T36" s="3" t="str">
        <f t="shared" si="16"/>
        <v>_Buen día Romina Roberto_</v>
      </c>
      <c r="U36" s="3" t="s">
        <v>54</v>
      </c>
      <c r="V36" s="3" t="str">
        <f t="shared" si="17"/>
        <v>_Buen día Romina Roberto_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37" spans="1:22" s="3" customFormat="1" x14ac:dyDescent="0.35">
      <c r="A37" s="15"/>
      <c r="B37" s="2">
        <v>34</v>
      </c>
      <c r="C37" s="2" t="s">
        <v>124</v>
      </c>
      <c r="D37" s="2">
        <v>3434668823</v>
      </c>
      <c r="E37" s="2" t="str">
        <f t="shared" si="12"/>
        <v>5493434668823</v>
      </c>
      <c r="F37" s="1">
        <v>0</v>
      </c>
      <c r="G37" s="6">
        <f t="shared" si="0"/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1">
        <v>0</v>
      </c>
      <c r="N37" s="1">
        <f t="shared" si="5"/>
        <v>0</v>
      </c>
      <c r="O37" s="1">
        <f t="shared" si="6"/>
        <v>0</v>
      </c>
      <c r="P37" s="3" t="str">
        <f t="shared" si="7"/>
        <v>_Buen día David Nicolás Romero! Le paso el saldo pendiente:_</v>
      </c>
      <c r="Q37" s="3" t="str">
        <f t="shared" si="8"/>
        <v>*DETALLE DE CUENTA:*
0 bidones de 12l
0 bidones de 20l
0 sodas
0 jugo
0 envase
0 extra
*TOTAL:*$0,00
*SALDO ANTERIOR:*$0,00
*MONTO TOTAL ADEUDADO:*$0,00</v>
      </c>
      <c r="R37" s="3" t="str">
        <f t="shared" si="1"/>
        <v>_Buen día David Nicolás Romero! Le paso el saldo pendiente:_
*DETALLE DE CUENTA:*
0 bidones de 12l
0 bidones de 20l
0 sodas
0 jugo
0 envase
0 extra
*TOTAL:*$0,00
*SALDO ANTERIOR:*$0,00
*MONTO TOTAL ADEUDADO:*$0,00</v>
      </c>
      <c r="T37" s="3" t="str">
        <f t="shared" si="16"/>
        <v>_Buen día David Nicolás Romero_</v>
      </c>
    </row>
    <row r="38" spans="1:22" s="3" customFormat="1" x14ac:dyDescent="0.35">
      <c r="A38" s="15"/>
      <c r="B38" s="2">
        <v>35</v>
      </c>
      <c r="C38" s="2" t="s">
        <v>43</v>
      </c>
      <c r="D38" s="2">
        <v>3434693934</v>
      </c>
      <c r="E38" s="2" t="str">
        <f t="shared" si="12"/>
        <v>5493434693934</v>
      </c>
      <c r="F38" s="1">
        <v>0</v>
      </c>
      <c r="G38" s="6">
        <f t="shared" si="0"/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1">
        <v>0</v>
      </c>
      <c r="N38" s="1">
        <f t="shared" si="5"/>
        <v>0</v>
      </c>
      <c r="O38" s="1">
        <f t="shared" si="6"/>
        <v>0</v>
      </c>
      <c r="P38" s="3" t="str">
        <f t="shared" si="7"/>
        <v>_Buen día Sandra frank ! Le paso el saldo pendiente:_</v>
      </c>
      <c r="Q38" s="3" t="str">
        <f t="shared" si="8"/>
        <v>*DETALLE DE CUENTA:*
0 bidones de 12l
0 bidones de 20l
0 sodas
0 jugo
0 envase
0 extra
*TOTAL:*$0,00
*SALDO ANTERIOR:*$0,00
*MONTO TOTAL ADEUDADO:*$0,00</v>
      </c>
      <c r="R38" s="3" t="str">
        <f t="shared" si="1"/>
        <v>_Buen día Sandra frank ! Le paso el saldo pendiente:_
*DETALLE DE CUENTA:*
0 bidones de 12l
0 bidones de 20l
0 sodas
0 jugo
0 envase
0 extra
*TOTAL:*$0,00
*SALDO ANTERIOR:*$0,00
*MONTO TOTAL ADEUDADO:*$0,00</v>
      </c>
      <c r="T38" s="3" t="str">
        <f t="shared" si="16"/>
        <v>_Buen día Sandra frank _</v>
      </c>
      <c r="U38" s="3" t="s">
        <v>54</v>
      </c>
      <c r="V38" s="3" t="str">
        <f t="shared" si="17"/>
        <v>_Buen día Sandra frank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39" spans="1:22" s="3" customFormat="1" x14ac:dyDescent="0.35">
      <c r="A39" s="15"/>
      <c r="B39" s="2">
        <v>36</v>
      </c>
      <c r="C39" s="2" t="s">
        <v>44</v>
      </c>
      <c r="D39" s="2">
        <v>3435031606</v>
      </c>
      <c r="E39" s="2" t="str">
        <f t="shared" si="12"/>
        <v>5493435031606</v>
      </c>
      <c r="F39" s="1">
        <v>0</v>
      </c>
      <c r="G39" s="6">
        <f t="shared" si="0"/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1">
        <v>0</v>
      </c>
      <c r="N39" s="1">
        <f t="shared" si="5"/>
        <v>0</v>
      </c>
      <c r="O39" s="1">
        <f t="shared" si="6"/>
        <v>0</v>
      </c>
      <c r="P39" s="3" t="str">
        <f t="shared" si="7"/>
        <v>_Buen día Roger chavez! Le paso el saldo pendiente:_</v>
      </c>
      <c r="Q39" s="3" t="str">
        <f t="shared" si="8"/>
        <v>*DETALLE DE CUENTA:*
0 bidones de 12l
0 bidones de 20l
0 sodas
0 jugo
0 envase
0 extra
*TOTAL:*$0,00
*SALDO ANTERIOR:*$0,00
*MONTO TOTAL ADEUDADO:*$0,00</v>
      </c>
      <c r="R39" s="3" t="str">
        <f t="shared" si="1"/>
        <v>_Buen día Roger chavez! Le paso el saldo pendiente:_
*DETALLE DE CUENTA:*
0 bidones de 12l
0 bidones de 20l
0 sodas
0 jugo
0 envase
0 extra
*TOTAL:*$0,00
*SALDO ANTERIOR:*$0,00
*MONTO TOTAL ADEUDADO:*$0,00</v>
      </c>
      <c r="T39" s="3" t="str">
        <f t="shared" si="16"/>
        <v>_Buen día Roger chavez_</v>
      </c>
      <c r="U39" s="3" t="s">
        <v>54</v>
      </c>
      <c r="V39" s="3" t="str">
        <f t="shared" si="17"/>
        <v>_Buen día Roger chavez_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40" spans="1:22" s="3" customFormat="1" x14ac:dyDescent="0.35">
      <c r="A40" s="15"/>
      <c r="B40" s="2">
        <v>37</v>
      </c>
      <c r="C40" s="2" t="s">
        <v>45</v>
      </c>
      <c r="D40" s="2">
        <v>3434527089</v>
      </c>
      <c r="E40" s="2" t="str">
        <f t="shared" si="12"/>
        <v>5493434527089</v>
      </c>
      <c r="F40" s="1">
        <v>0</v>
      </c>
      <c r="G40" s="6">
        <f t="shared" si="0"/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1">
        <v>0</v>
      </c>
      <c r="N40" s="1">
        <f t="shared" si="5"/>
        <v>0</v>
      </c>
      <c r="O40" s="1">
        <f t="shared" si="6"/>
        <v>0</v>
      </c>
      <c r="P40" s="3" t="str">
        <f t="shared" si="7"/>
        <v>_Buen día Mabel Cardoso! Le paso el saldo pendiente:_</v>
      </c>
      <c r="Q40" s="3" t="str">
        <f t="shared" si="8"/>
        <v>*DETALLE DE CUENTA:*
0 bidones de 12l
0 bidones de 20l
0 sodas
0 jugo
0 envase
0 extra
*TOTAL:*$0,00
*SALDO ANTERIOR:*$0,00
*MONTO TOTAL ADEUDADO:*$0,00</v>
      </c>
      <c r="R40" s="3" t="str">
        <f t="shared" si="1"/>
        <v>_Buen día Mabel Cardoso! Le paso el saldo pendiente:_
*DETALLE DE CUENTA:*
0 bidones de 12l
0 bidones de 20l
0 sodas
0 jugo
0 envase
0 extra
*TOTAL:*$0,00
*SALDO ANTERIOR:*$0,00
*MONTO TOTAL ADEUDADO:*$0,00</v>
      </c>
      <c r="T40" s="3" t="str">
        <f t="shared" si="16"/>
        <v>_Buen día Mabel Cardoso_</v>
      </c>
      <c r="U40" s="3" t="s">
        <v>54</v>
      </c>
      <c r="V40" s="3" t="str">
        <f t="shared" si="17"/>
        <v>_Buen día Mabel Cardoso_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41" spans="1:22" s="3" customFormat="1" x14ac:dyDescent="0.35">
      <c r="A41" s="15"/>
      <c r="B41" s="2">
        <v>38</v>
      </c>
      <c r="C41" s="2" t="s">
        <v>46</v>
      </c>
      <c r="D41" s="2">
        <v>3434477764</v>
      </c>
      <c r="E41" s="2" t="str">
        <f t="shared" si="12"/>
        <v>5493434477764</v>
      </c>
      <c r="F41" s="1">
        <v>0</v>
      </c>
      <c r="G41" s="6">
        <f t="shared" si="0"/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1">
        <v>0</v>
      </c>
      <c r="N41" s="1">
        <f t="shared" si="5"/>
        <v>0</v>
      </c>
      <c r="O41" s="1">
        <f t="shared" si="6"/>
        <v>0</v>
      </c>
      <c r="P41" s="3" t="str">
        <f t="shared" si="7"/>
        <v>_Buen día Ceballos Julio! Le paso el saldo pendiente:_</v>
      </c>
      <c r="Q41" s="3" t="str">
        <f t="shared" si="8"/>
        <v>*DETALLE DE CUENTA:*
0 bidones de 12l
0 bidones de 20l
0 sodas
0 jugo
0 envase
0 extra
*TOTAL:*$0,00
*SALDO ANTERIOR:*$0,00
*MONTO TOTAL ADEUDADO:*$0,00</v>
      </c>
      <c r="R41" s="3" t="str">
        <f t="shared" si="1"/>
        <v>_Buen día Ceballos Julio! Le paso el saldo pendiente:_
*DETALLE DE CUENTA:*
0 bidones de 12l
0 bidones de 20l
0 sodas
0 jugo
0 envase
0 extra
*TOTAL:*$0,00
*SALDO ANTERIOR:*$0,00
*MONTO TOTAL ADEUDADO:*$0,00</v>
      </c>
      <c r="T41" s="3" t="str">
        <f t="shared" si="16"/>
        <v>_Buen día Ceballos Julio_</v>
      </c>
      <c r="U41" s="3" t="s">
        <v>54</v>
      </c>
      <c r="V41" s="3" t="str">
        <f t="shared" si="17"/>
        <v>_Buen día Ceballos Julio_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42" spans="1:22" s="3" customFormat="1" x14ac:dyDescent="0.35">
      <c r="A42" s="15"/>
      <c r="B42" s="2">
        <v>39</v>
      </c>
      <c r="C42" s="2" t="s">
        <v>47</v>
      </c>
      <c r="D42" s="2">
        <v>3434512306</v>
      </c>
      <c r="E42" s="2" t="str">
        <f t="shared" si="12"/>
        <v>5493434512306</v>
      </c>
      <c r="F42" s="1">
        <v>0</v>
      </c>
      <c r="G42" s="6">
        <f t="shared" si="0"/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1">
        <v>0</v>
      </c>
      <c r="N42" s="1">
        <f t="shared" si="5"/>
        <v>0</v>
      </c>
      <c r="O42" s="1">
        <f t="shared" si="6"/>
        <v>0</v>
      </c>
      <c r="P42" s="3" t="str">
        <f t="shared" si="7"/>
        <v>_Buen día Maricel ceparo ! Le paso el saldo pendiente:_</v>
      </c>
      <c r="Q42" s="3" t="str">
        <f t="shared" si="8"/>
        <v>*DETALLE DE CUENTA:*
0 bidones de 12l
0 bidones de 20l
0 sodas
0 jugo
0 envase
0 extra
*TOTAL:*$0,00
*SALDO ANTERIOR:*$0,00
*MONTO TOTAL ADEUDADO:*$0,00</v>
      </c>
      <c r="R42" s="3" t="str">
        <f t="shared" si="1"/>
        <v>_Buen día Maricel ceparo ! Le paso el saldo pendiente:_
*DETALLE DE CUENTA:*
0 bidones de 12l
0 bidones de 20l
0 sodas
0 jugo
0 envase
0 extra
*TOTAL:*$0,00
*SALDO ANTERIOR:*$0,00
*MONTO TOTAL ADEUDADO:*$0,00</v>
      </c>
      <c r="T42" s="3" t="str">
        <f t="shared" si="16"/>
        <v>_Buen día Maricel ceparo _</v>
      </c>
      <c r="U42" s="3" t="s">
        <v>54</v>
      </c>
      <c r="V42" s="3" t="str">
        <f t="shared" si="17"/>
        <v>_Buen día Maricel ceparo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43" spans="1:22" s="3" customFormat="1" x14ac:dyDescent="0.35">
      <c r="A43" s="15"/>
      <c r="B43" s="2">
        <v>40</v>
      </c>
      <c r="C43" s="2" t="s">
        <v>48</v>
      </c>
      <c r="D43" s="2">
        <v>3435000223</v>
      </c>
      <c r="E43" s="2" t="str">
        <f t="shared" si="12"/>
        <v>5493435000223</v>
      </c>
      <c r="F43" s="1">
        <v>0</v>
      </c>
      <c r="G43" s="6">
        <f t="shared" si="0"/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1">
        <v>0</v>
      </c>
      <c r="N43" s="1">
        <f t="shared" si="5"/>
        <v>0</v>
      </c>
      <c r="O43" s="1">
        <f t="shared" si="6"/>
        <v>0</v>
      </c>
      <c r="P43" s="3" t="str">
        <f t="shared" si="7"/>
        <v>_Buen día Taisner Elizabeth ! Le paso el saldo pendiente:_</v>
      </c>
      <c r="Q43" s="3" t="str">
        <f t="shared" si="8"/>
        <v>*DETALLE DE CUENTA:*
0 bidones de 12l
0 bidones de 20l
0 sodas
0 jugo
0 envase
0 extra
*TOTAL:*$0,00
*SALDO ANTERIOR:*$0,00
*MONTO TOTAL ADEUDADO:*$0,00</v>
      </c>
      <c r="R43" s="3" t="str">
        <f t="shared" si="1"/>
        <v>_Buen día Taisner Elizabeth ! Le paso el saldo pendiente:_
*DETALLE DE CUENTA:*
0 bidones de 12l
0 bidones de 20l
0 sodas
0 jugo
0 envase
0 extra
*TOTAL:*$0,00
*SALDO ANTERIOR:*$0,00
*MONTO TOTAL ADEUDADO:*$0,00</v>
      </c>
      <c r="T43" s="3" t="str">
        <f t="shared" si="16"/>
        <v>_Buen día Taisner Elizabeth _</v>
      </c>
      <c r="U43" s="3" t="s">
        <v>54</v>
      </c>
      <c r="V43" s="3" t="str">
        <f t="shared" si="17"/>
        <v>_Buen día Taisner Elizabeth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44" spans="1:22" s="3" customFormat="1" x14ac:dyDescent="0.35">
      <c r="A44" s="15"/>
      <c r="B44" s="2">
        <v>41</v>
      </c>
      <c r="C44" s="2" t="s">
        <v>49</v>
      </c>
      <c r="D44" s="2">
        <v>3435136715</v>
      </c>
      <c r="E44" s="2" t="str">
        <f t="shared" si="12"/>
        <v>5493435136715</v>
      </c>
      <c r="F44" s="1">
        <v>0</v>
      </c>
      <c r="G44" s="6">
        <f t="shared" si="0"/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1">
        <v>0</v>
      </c>
      <c r="N44" s="1">
        <f t="shared" si="5"/>
        <v>0</v>
      </c>
      <c r="O44" s="1">
        <f t="shared" si="6"/>
        <v>0</v>
      </c>
      <c r="P44" s="3" t="str">
        <f t="shared" si="7"/>
        <v>_Buen día Nancy Maria Belen Leston! Le paso el saldo pendiente:_</v>
      </c>
      <c r="Q44" s="3" t="str">
        <f t="shared" si="8"/>
        <v>*DETALLE DE CUENTA:*
0 bidones de 12l
0 bidones de 20l
0 sodas
0 jugo
0 envase
0 extra
*TOTAL:*$0,00
*SALDO ANTERIOR:*$0,00
*MONTO TOTAL ADEUDADO:*$0,00</v>
      </c>
      <c r="R44" s="3" t="str">
        <f t="shared" si="1"/>
        <v>_Buen día Nancy Maria Belen Leston! Le paso el saldo pendiente:_
*DETALLE DE CUENTA:*
0 bidones de 12l
0 bidones de 20l
0 sodas
0 jugo
0 envase
0 extra
*TOTAL:*$0,00
*SALDO ANTERIOR:*$0,00
*MONTO TOTAL ADEUDADO:*$0,00</v>
      </c>
      <c r="T44" s="3" t="str">
        <f t="shared" si="16"/>
        <v>_Buen día Nancy Maria Belen Leston_</v>
      </c>
      <c r="U44" s="3" t="s">
        <v>54</v>
      </c>
      <c r="V44" s="3" t="str">
        <f t="shared" si="17"/>
        <v>_Buen día Nancy Maria Belen Leston_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45" spans="1:22" x14ac:dyDescent="0.35">
      <c r="A45" s="15"/>
      <c r="B45" s="2">
        <v>42</v>
      </c>
      <c r="C45" s="2" t="s">
        <v>125</v>
      </c>
      <c r="D45" s="2">
        <v>3435201353</v>
      </c>
      <c r="E45" s="2" t="str">
        <f t="shared" si="12"/>
        <v>5493435201353</v>
      </c>
      <c r="F45" s="1">
        <v>0</v>
      </c>
      <c r="G45" s="6">
        <f t="shared" si="0"/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1">
        <v>0</v>
      </c>
      <c r="N45" s="1">
        <f t="shared" si="5"/>
        <v>0</v>
      </c>
      <c r="O45" s="1">
        <f t="shared" si="6"/>
        <v>0</v>
      </c>
      <c r="P45" s="3" t="str">
        <f t="shared" si="7"/>
        <v>_Buen día García Lucila! Le paso el saldo pendiente:_</v>
      </c>
      <c r="Q45" s="3" t="str">
        <f t="shared" si="8"/>
        <v>*DETALLE DE CUENTA:*
0 bidones de 12l
0 bidones de 20l
0 sodas
0 jugo
0 envase
0 extra
*TOTAL:*$0,00
*SALDO ANTERIOR:*$0,00
*MONTO TOTAL ADEUDADO:*$0,00</v>
      </c>
      <c r="R45" s="3" t="str">
        <f t="shared" si="1"/>
        <v>_Buen día García Lucila! Le paso el saldo pendiente:_
*DETALLE DE CUENTA:*
0 bidones de 12l
0 bidones de 20l
0 sodas
0 jugo
0 envase
0 extra
*TOTAL:*$0,00
*SALDO ANTERIOR:*$0,00
*MONTO TOTAL ADEUDADO:*$0,00</v>
      </c>
      <c r="T45" s="3" t="str">
        <f t="shared" si="16"/>
        <v>_Buen día García Lucila_</v>
      </c>
    </row>
    <row r="46" spans="1:22" s="3" customFormat="1" x14ac:dyDescent="0.35">
      <c r="A46" s="15"/>
      <c r="B46" s="2">
        <v>43</v>
      </c>
      <c r="C46" s="2" t="s">
        <v>50</v>
      </c>
      <c r="D46" s="2">
        <v>3434530538</v>
      </c>
      <c r="E46" s="2" t="str">
        <f t="shared" si="12"/>
        <v>5493434530538</v>
      </c>
      <c r="F46" s="1">
        <v>0</v>
      </c>
      <c r="G46" s="6">
        <f t="shared" si="0"/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1">
        <v>0</v>
      </c>
      <c r="N46" s="1">
        <f t="shared" si="5"/>
        <v>0</v>
      </c>
      <c r="O46" s="1">
        <f t="shared" si="6"/>
        <v>0</v>
      </c>
      <c r="P46" s="3" t="str">
        <f t="shared" si="7"/>
        <v>_Buen día Araceli Guadalupe Arce! Le paso el saldo pendiente:_</v>
      </c>
      <c r="Q46" s="3" t="str">
        <f t="shared" si="8"/>
        <v>*DETALLE DE CUENTA:*
0 bidones de 12l
0 bidones de 20l
0 sodas
0 jugo
0 envase
0 extra
*TOTAL:*$0,00
*SALDO ANTERIOR:*$0,00
*MONTO TOTAL ADEUDADO:*$0,00</v>
      </c>
      <c r="R46" s="3" t="str">
        <f t="shared" si="1"/>
        <v>_Buen día Araceli Guadalupe Arce! Le paso el saldo pendiente:_
*DETALLE DE CUENTA:*
0 bidones de 12l
0 bidones de 20l
0 sodas
0 jugo
0 envase
0 extra
*TOTAL:*$0,00
*SALDO ANTERIOR:*$0,00
*MONTO TOTAL ADEUDADO:*$0,00</v>
      </c>
      <c r="T46" s="3" t="str">
        <f t="shared" si="16"/>
        <v>_Buen día Araceli Guadalupe Arce_</v>
      </c>
      <c r="U46" s="3" t="s">
        <v>54</v>
      </c>
      <c r="V46" s="3" t="str">
        <f t="shared" ref="V46:V49" si="18">CONCATENATE(T46,U46)</f>
        <v>_Buen día Araceli Guadalupe Arce_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47" spans="1:22" s="3" customFormat="1" x14ac:dyDescent="0.35">
      <c r="A47" s="15"/>
      <c r="B47" s="2">
        <v>44</v>
      </c>
      <c r="C47" s="2" t="s">
        <v>51</v>
      </c>
      <c r="D47" s="2">
        <v>3434192677</v>
      </c>
      <c r="E47" s="2" t="str">
        <f t="shared" si="12"/>
        <v>5493434192677</v>
      </c>
      <c r="F47" s="1">
        <v>0</v>
      </c>
      <c r="G47" s="6">
        <f t="shared" si="0"/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1">
        <v>0</v>
      </c>
      <c r="N47" s="1">
        <f t="shared" si="5"/>
        <v>0</v>
      </c>
      <c r="O47" s="1">
        <f t="shared" si="6"/>
        <v>0</v>
      </c>
      <c r="P47" s="3" t="str">
        <f t="shared" si="7"/>
        <v>_Buen día Daniela Moreno! Le paso el saldo pendiente:_</v>
      </c>
      <c r="Q47" s="3" t="str">
        <f t="shared" si="8"/>
        <v>*DETALLE DE CUENTA:*
0 bidones de 12l
0 bidones de 20l
0 sodas
0 jugo
0 envase
0 extra
*TOTAL:*$0,00
*SALDO ANTERIOR:*$0,00
*MONTO TOTAL ADEUDADO:*$0,00</v>
      </c>
      <c r="R47" s="3" t="str">
        <f t="shared" si="1"/>
        <v>_Buen día Daniela Moreno! Le paso el saldo pendiente:_
*DETALLE DE CUENTA:*
0 bidones de 12l
0 bidones de 20l
0 sodas
0 jugo
0 envase
0 extra
*TOTAL:*$0,00
*SALDO ANTERIOR:*$0,00
*MONTO TOTAL ADEUDADO:*$0,00</v>
      </c>
      <c r="T47" s="3" t="str">
        <f t="shared" si="16"/>
        <v>_Buen día Daniela Moreno_</v>
      </c>
      <c r="U47" s="3" t="s">
        <v>54</v>
      </c>
      <c r="V47" s="3" t="str">
        <f t="shared" si="18"/>
        <v>_Buen día Daniela Moreno_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48" spans="1:22" s="3" customFormat="1" x14ac:dyDescent="0.35">
      <c r="A48" s="15"/>
      <c r="B48" s="2">
        <v>45</v>
      </c>
      <c r="C48" s="2" t="s">
        <v>52</v>
      </c>
      <c r="D48" s="2">
        <v>3434528004</v>
      </c>
      <c r="E48" s="2" t="str">
        <f t="shared" si="12"/>
        <v>5493434528004</v>
      </c>
      <c r="F48" s="1">
        <v>0</v>
      </c>
      <c r="G48" s="6">
        <f t="shared" si="0"/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1">
        <v>0</v>
      </c>
      <c r="N48" s="1">
        <f t="shared" si="5"/>
        <v>0</v>
      </c>
      <c r="O48" s="1">
        <f t="shared" si="6"/>
        <v>0</v>
      </c>
      <c r="P48" s="3" t="str">
        <f t="shared" si="7"/>
        <v>_Buen día Marisa del Carmen Holotte! Le paso el saldo pendiente:_</v>
      </c>
      <c r="Q48" s="3" t="str">
        <f t="shared" si="8"/>
        <v>*DETALLE DE CUENTA:*
0 bidones de 12l
0 bidones de 20l
0 sodas
0 jugo
0 envase
0 extra
*TOTAL:*$0,00
*SALDO ANTERIOR:*$0,00
*MONTO TOTAL ADEUDADO:*$0,00</v>
      </c>
      <c r="R48" s="3" t="str">
        <f t="shared" si="1"/>
        <v>_Buen día Marisa del Carmen Holotte! Le paso el saldo pendiente:_
*DETALLE DE CUENTA:*
0 bidones de 12l
0 bidones de 20l
0 sodas
0 jugo
0 envase
0 extra
*TOTAL:*$0,00
*SALDO ANTERIOR:*$0,00
*MONTO TOTAL ADEUDADO:*$0,00</v>
      </c>
      <c r="T48" s="3" t="str">
        <f t="shared" si="16"/>
        <v>_Buen día Marisa del Carmen Holotte_</v>
      </c>
      <c r="U48" s="3" t="s">
        <v>54</v>
      </c>
      <c r="V48" s="3" t="str">
        <f t="shared" si="18"/>
        <v>_Buen día Marisa del Carmen Holotte_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49" spans="1:22" s="3" customFormat="1" x14ac:dyDescent="0.35">
      <c r="A49" s="15"/>
      <c r="B49" s="2">
        <v>46</v>
      </c>
      <c r="C49" s="2" t="s">
        <v>115</v>
      </c>
      <c r="D49" s="2">
        <v>3435097840</v>
      </c>
      <c r="E49" s="2" t="str">
        <f t="shared" si="12"/>
        <v>5493435097840</v>
      </c>
      <c r="F49" s="1">
        <v>0</v>
      </c>
      <c r="G49" s="6">
        <f t="shared" si="0"/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1">
        <v>0</v>
      </c>
      <c r="N49" s="1">
        <f t="shared" si="5"/>
        <v>0</v>
      </c>
      <c r="O49" s="1">
        <f t="shared" si="6"/>
        <v>0</v>
      </c>
      <c r="P49" s="3" t="str">
        <f t="shared" si="7"/>
        <v>_Buen día ARELLANO GONZALO HUGO! Le paso el saldo pendiente:_</v>
      </c>
      <c r="Q49" s="3" t="str">
        <f t="shared" si="8"/>
        <v>*DETALLE DE CUENTA:*
0 bidones de 12l
0 bidones de 20l
0 sodas
0 jugo
0 envase
0 extra
*TOTAL:*$0,00
*SALDO ANTERIOR:*$0,00
*MONTO TOTAL ADEUDADO:*$0,00</v>
      </c>
      <c r="R49" s="3" t="str">
        <f t="shared" si="1"/>
        <v>_Buen día ARELLANO GONZALO HUGO! Le paso el saldo pendiente:_
*DETALLE DE CUENTA:*
0 bidones de 12l
0 bidones de 20l
0 sodas
0 jugo
0 envase
0 extra
*TOTAL:*$0,00
*SALDO ANTERIOR:*$0,00
*MONTO TOTAL ADEUDADO:*$0,00</v>
      </c>
      <c r="T49" s="3" t="str">
        <f t="shared" si="16"/>
        <v>_Buen día ARELLANO GONZALO HUGO_</v>
      </c>
      <c r="U49" s="3" t="s">
        <v>54</v>
      </c>
      <c r="V49" s="3" t="str">
        <f t="shared" si="18"/>
        <v>_Buen día ARELLANO GONZALO HUGO_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50" spans="1:22" x14ac:dyDescent="0.35">
      <c r="A50" s="16" t="s">
        <v>143</v>
      </c>
      <c r="B50" s="2">
        <v>1</v>
      </c>
      <c r="C50" s="2" t="s">
        <v>127</v>
      </c>
      <c r="D50" s="2">
        <v>3434650758</v>
      </c>
      <c r="E50" s="2" t="str">
        <f t="shared" si="12"/>
        <v>5493434650758</v>
      </c>
      <c r="F50" s="1">
        <v>0</v>
      </c>
      <c r="G50" s="6">
        <f t="shared" si="0"/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1">
        <v>0</v>
      </c>
      <c r="N50" s="1">
        <f t="shared" si="5"/>
        <v>0</v>
      </c>
      <c r="O50" s="1">
        <f t="shared" si="6"/>
        <v>0</v>
      </c>
      <c r="P50" s="3" t="str">
        <f t="shared" si="7"/>
        <v>_Buen día Jorge Pino! Le paso el saldo pendiente:_</v>
      </c>
      <c r="Q50" s="3" t="str">
        <f t="shared" si="8"/>
        <v>*DETALLE DE CUENTA:*
0 bidones de 12l
0 bidones de 20l
0 sodas
0 jugo
0 envase
0 extra
*TOTAL:*$0,00
*SALDO ANTERIOR:*$0,00
*MONTO TOTAL ADEUDADO:*$0,00</v>
      </c>
      <c r="R50" s="3" t="str">
        <f t="shared" si="1"/>
        <v>_Buen día Jorge Pino! Le paso el saldo pendiente:_
*DETALLE DE CUENTA:*
0 bidones de 12l
0 bidones de 20l
0 sodas
0 jugo
0 envase
0 extra
*TOTAL:*$0,00
*SALDO ANTERIOR:*$0,00
*MONTO TOTAL ADEUDADO:*$0,00</v>
      </c>
      <c r="T50" s="3" t="str">
        <f t="shared" si="16"/>
        <v>_Buen día Jorge Pino_</v>
      </c>
    </row>
    <row r="51" spans="1:22" s="3" customFormat="1" ht="14.5" customHeight="1" x14ac:dyDescent="0.35">
      <c r="A51" s="16"/>
      <c r="B51" s="2">
        <v>2</v>
      </c>
      <c r="C51" s="2" t="s">
        <v>56</v>
      </c>
      <c r="D51" s="2">
        <v>3436225409</v>
      </c>
      <c r="E51" s="2" t="str">
        <f t="shared" si="12"/>
        <v>5493436225409</v>
      </c>
      <c r="F51" s="1">
        <v>0</v>
      </c>
      <c r="G51" s="6">
        <f t="shared" si="0"/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1">
        <v>0</v>
      </c>
      <c r="N51" s="1">
        <f t="shared" si="5"/>
        <v>0</v>
      </c>
      <c r="O51" s="1">
        <f t="shared" si="6"/>
        <v>0</v>
      </c>
      <c r="P51" s="3" t="str">
        <f t="shared" si="7"/>
        <v>_Buen día Marcela Moreyra! Le paso el saldo pendiente:_</v>
      </c>
      <c r="Q51" s="3" t="str">
        <f t="shared" si="8"/>
        <v>*DETALLE DE CUENTA:*
0 bidones de 12l
0 bidones de 20l
0 sodas
0 jugo
0 envase
0 extra
*TOTAL:*$0,00
*SALDO ANTERIOR:*$0,00
*MONTO TOTAL ADEUDADO:*$0,00</v>
      </c>
      <c r="R51" s="3" t="str">
        <f t="shared" si="1"/>
        <v>_Buen día Marcela Moreyra! Le paso el saldo pendiente:_
*DETALLE DE CUENTA:*
0 bidones de 12l
0 bidones de 20l
0 sodas
0 jugo
0 envase
0 extra
*TOTAL:*$0,00
*SALDO ANTERIOR:*$0,00
*MONTO TOTAL ADEUDADO:*$0,00</v>
      </c>
      <c r="T51" s="3" t="str">
        <f t="shared" si="16"/>
        <v>_Buen día Marcela Moreyra_</v>
      </c>
      <c r="U51" s="3" t="s">
        <v>54</v>
      </c>
      <c r="V51" s="3" t="str">
        <f t="shared" ref="V51:V57" si="19">CONCATENATE(T51,U51)</f>
        <v>_Buen día Marcela Moreyra_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52" spans="1:22" s="3" customFormat="1" x14ac:dyDescent="0.35">
      <c r="A52" s="16"/>
      <c r="B52" s="2">
        <v>3</v>
      </c>
      <c r="C52" s="2" t="s">
        <v>57</v>
      </c>
      <c r="D52" s="2">
        <v>3435149714</v>
      </c>
      <c r="E52" s="2" t="str">
        <f t="shared" si="12"/>
        <v>5493435149714</v>
      </c>
      <c r="F52" s="1">
        <v>0</v>
      </c>
      <c r="G52" s="6">
        <f t="shared" si="0"/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1">
        <v>0</v>
      </c>
      <c r="N52" s="1">
        <f t="shared" si="5"/>
        <v>0</v>
      </c>
      <c r="O52" s="1">
        <f t="shared" si="6"/>
        <v>0</v>
      </c>
      <c r="P52" s="3" t="str">
        <f t="shared" si="7"/>
        <v>_Buen día Sebastián Marzoratti! Le paso el saldo pendiente:_</v>
      </c>
      <c r="Q52" s="3" t="str">
        <f t="shared" si="8"/>
        <v>*DETALLE DE CUENTA:*
0 bidones de 12l
0 bidones de 20l
0 sodas
0 jugo
0 envase
0 extra
*TOTAL:*$0,00
*SALDO ANTERIOR:*$0,00
*MONTO TOTAL ADEUDADO:*$0,00</v>
      </c>
      <c r="R52" s="3" t="str">
        <f t="shared" si="1"/>
        <v>_Buen día Sebastián Marzoratti! Le paso el saldo pendiente:_
*DETALLE DE CUENTA:*
0 bidones de 12l
0 bidones de 20l
0 sodas
0 jugo
0 envase
0 extra
*TOTAL:*$0,00
*SALDO ANTERIOR:*$0,00
*MONTO TOTAL ADEUDADO:*$0,00</v>
      </c>
      <c r="T52" s="3" t="str">
        <f t="shared" si="16"/>
        <v>_Buen día Sebastián Marzoratti_</v>
      </c>
      <c r="U52" s="3" t="s">
        <v>54</v>
      </c>
      <c r="V52" s="3" t="str">
        <f t="shared" si="19"/>
        <v>_Buen día Sebastián Marzoratti_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53" spans="1:22" s="3" customFormat="1" x14ac:dyDescent="0.35">
      <c r="A53" s="16"/>
      <c r="B53" s="2">
        <v>4</v>
      </c>
      <c r="C53" s="2" t="s">
        <v>58</v>
      </c>
      <c r="D53" s="2">
        <v>3434520127</v>
      </c>
      <c r="E53" s="2" t="str">
        <f t="shared" si="12"/>
        <v>5493434520127</v>
      </c>
      <c r="F53" s="1">
        <v>0</v>
      </c>
      <c r="G53" s="6">
        <f t="shared" si="0"/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1">
        <v>0</v>
      </c>
      <c r="N53" s="1">
        <f t="shared" si="5"/>
        <v>0</v>
      </c>
      <c r="O53" s="1">
        <f t="shared" si="6"/>
        <v>0</v>
      </c>
      <c r="P53" s="3" t="str">
        <f t="shared" si="7"/>
        <v>_Buen día Monica Kannemann! Le paso el saldo pendiente:_</v>
      </c>
      <c r="Q53" s="3" t="str">
        <f t="shared" si="8"/>
        <v>*DETALLE DE CUENTA:*
0 bidones de 12l
0 bidones de 20l
0 sodas
0 jugo
0 envase
0 extra
*TOTAL:*$0,00
*SALDO ANTERIOR:*$0,00
*MONTO TOTAL ADEUDADO:*$0,00</v>
      </c>
      <c r="R53" s="3" t="str">
        <f t="shared" si="1"/>
        <v>_Buen día Monica Kannemann! Le paso el saldo pendiente:_
*DETALLE DE CUENTA:*
0 bidones de 12l
0 bidones de 20l
0 sodas
0 jugo
0 envase
0 extra
*TOTAL:*$0,00
*SALDO ANTERIOR:*$0,00
*MONTO TOTAL ADEUDADO:*$0,00</v>
      </c>
      <c r="T53" s="3" t="str">
        <f t="shared" si="16"/>
        <v>_Buen día Monica Kannemann_</v>
      </c>
      <c r="U53" s="3" t="s">
        <v>54</v>
      </c>
      <c r="V53" s="3" t="str">
        <f t="shared" si="19"/>
        <v>_Buen día Monica Kannemann_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54" spans="1:22" s="3" customFormat="1" x14ac:dyDescent="0.35">
      <c r="A54" s="16"/>
      <c r="B54" s="2">
        <v>5</v>
      </c>
      <c r="C54" s="2" t="s">
        <v>59</v>
      </c>
      <c r="D54" s="2">
        <v>3496441322</v>
      </c>
      <c r="E54" s="2" t="str">
        <f t="shared" si="12"/>
        <v>5493496441322</v>
      </c>
      <c r="F54" s="1">
        <v>0</v>
      </c>
      <c r="G54" s="6">
        <f t="shared" si="0"/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1">
        <v>0</v>
      </c>
      <c r="N54" s="1">
        <f t="shared" si="5"/>
        <v>0</v>
      </c>
      <c r="O54" s="1">
        <f t="shared" si="6"/>
        <v>0</v>
      </c>
      <c r="P54" s="3" t="str">
        <f t="shared" si="7"/>
        <v>_Buen día Natalia Pividori! Le paso el saldo pendiente:_</v>
      </c>
      <c r="Q54" s="3" t="str">
        <f t="shared" si="8"/>
        <v>*DETALLE DE CUENTA:*
0 bidones de 12l
0 bidones de 20l
0 sodas
0 jugo
0 envase
0 extra
*TOTAL:*$0,00
*SALDO ANTERIOR:*$0,00
*MONTO TOTAL ADEUDADO:*$0,00</v>
      </c>
      <c r="R54" s="3" t="str">
        <f t="shared" si="1"/>
        <v>_Buen día Natalia Pividori! Le paso el saldo pendiente:_
*DETALLE DE CUENTA:*
0 bidones de 12l
0 bidones de 20l
0 sodas
0 jugo
0 envase
0 extra
*TOTAL:*$0,00
*SALDO ANTERIOR:*$0,00
*MONTO TOTAL ADEUDADO:*$0,00</v>
      </c>
      <c r="T54" s="3" t="str">
        <f t="shared" si="16"/>
        <v>_Buen día Natalia Pividori_</v>
      </c>
      <c r="U54" s="3" t="s">
        <v>54</v>
      </c>
      <c r="V54" s="3" t="str">
        <f t="shared" si="19"/>
        <v>_Buen día Natalia Pividori_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55" spans="1:22" s="3" customFormat="1" x14ac:dyDescent="0.35">
      <c r="A55" s="16"/>
      <c r="B55" s="2">
        <v>6</v>
      </c>
      <c r="C55" s="2" t="s">
        <v>60</v>
      </c>
      <c r="D55" s="2">
        <v>3436231112</v>
      </c>
      <c r="E55" s="2" t="str">
        <f t="shared" si="12"/>
        <v>5493436231112</v>
      </c>
      <c r="F55" s="1">
        <v>0</v>
      </c>
      <c r="G55" s="6">
        <f t="shared" si="0"/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1">
        <v>0</v>
      </c>
      <c r="N55" s="1">
        <f t="shared" si="5"/>
        <v>0</v>
      </c>
      <c r="O55" s="1">
        <f t="shared" si="6"/>
        <v>0</v>
      </c>
      <c r="P55" s="3" t="str">
        <f t="shared" si="7"/>
        <v>_Buen día Gaggión Marisa Gisela! Le paso el saldo pendiente:_</v>
      </c>
      <c r="Q55" s="3" t="str">
        <f t="shared" si="8"/>
        <v>*DETALLE DE CUENTA:*
0 bidones de 12l
0 bidones de 20l
0 sodas
0 jugo
0 envase
0 extra
*TOTAL:*$0,00
*SALDO ANTERIOR:*$0,00
*MONTO TOTAL ADEUDADO:*$0,00</v>
      </c>
      <c r="R55" s="3" t="str">
        <f t="shared" si="1"/>
        <v>_Buen día Gaggión Marisa Gisela! Le paso el saldo pendiente:_
*DETALLE DE CUENTA:*
0 bidones de 12l
0 bidones de 20l
0 sodas
0 jugo
0 envase
0 extra
*TOTAL:*$0,00
*SALDO ANTERIOR:*$0,00
*MONTO TOTAL ADEUDADO:*$0,00</v>
      </c>
      <c r="T55" s="3" t="str">
        <f t="shared" si="16"/>
        <v>_Buen día Gaggión Marisa Gisela_</v>
      </c>
      <c r="U55" s="3" t="s">
        <v>54</v>
      </c>
      <c r="V55" s="3" t="str">
        <f t="shared" si="19"/>
        <v>_Buen día Gaggión Marisa Gisela_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56" spans="1:22" s="3" customFormat="1" x14ac:dyDescent="0.35">
      <c r="A56" s="16"/>
      <c r="B56" s="2">
        <v>7</v>
      </c>
      <c r="C56" s="2" t="s">
        <v>61</v>
      </c>
      <c r="D56" s="2">
        <v>3436222539</v>
      </c>
      <c r="E56" s="2" t="str">
        <f t="shared" si="12"/>
        <v>5493436222539</v>
      </c>
      <c r="F56" s="1">
        <v>0</v>
      </c>
      <c r="G56" s="6">
        <f t="shared" si="0"/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1">
        <v>0</v>
      </c>
      <c r="N56" s="1">
        <f t="shared" si="5"/>
        <v>0</v>
      </c>
      <c r="O56" s="1">
        <f t="shared" si="6"/>
        <v>0</v>
      </c>
      <c r="P56" s="3" t="str">
        <f t="shared" si="7"/>
        <v>_Buen día Alvarez Daneri Estefanía! Le paso el saldo pendiente:_</v>
      </c>
      <c r="Q56" s="3" t="str">
        <f t="shared" si="8"/>
        <v>*DETALLE DE CUENTA:*
0 bidones de 12l
0 bidones de 20l
0 sodas
0 jugo
0 envase
0 extra
*TOTAL:*$0,00
*SALDO ANTERIOR:*$0,00
*MONTO TOTAL ADEUDADO:*$0,00</v>
      </c>
      <c r="R56" s="3" t="str">
        <f t="shared" si="1"/>
        <v>_Buen día Alvarez Daneri Estefanía! Le paso el saldo pendiente:_
*DETALLE DE CUENTA:*
0 bidones de 12l
0 bidones de 20l
0 sodas
0 jugo
0 envase
0 extra
*TOTAL:*$0,00
*SALDO ANTERIOR:*$0,00
*MONTO TOTAL ADEUDADO:*$0,00</v>
      </c>
      <c r="T56" s="3" t="str">
        <f t="shared" si="16"/>
        <v>_Buen día Alvarez Daneri Estefanía_</v>
      </c>
      <c r="U56" s="3" t="s">
        <v>54</v>
      </c>
      <c r="V56" s="3" t="str">
        <f t="shared" si="19"/>
        <v>_Buen día Alvarez Daneri Estefanía_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57" spans="1:22" s="3" customFormat="1" x14ac:dyDescent="0.35">
      <c r="A57" s="16"/>
      <c r="B57" s="2">
        <v>8</v>
      </c>
      <c r="C57" s="2" t="s">
        <v>109</v>
      </c>
      <c r="D57" s="2">
        <v>3435166951</v>
      </c>
      <c r="E57" s="2" t="str">
        <f t="shared" si="12"/>
        <v>5493435166951</v>
      </c>
      <c r="F57" s="1">
        <v>0</v>
      </c>
      <c r="G57" s="6">
        <f t="shared" si="0"/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1">
        <v>0</v>
      </c>
      <c r="N57" s="1">
        <f t="shared" si="5"/>
        <v>0</v>
      </c>
      <c r="O57" s="1">
        <f t="shared" si="6"/>
        <v>0</v>
      </c>
      <c r="P57" s="3" t="str">
        <f t="shared" si="7"/>
        <v>_Buen día ~Veronica Hillmann! Le paso el saldo pendiente:_</v>
      </c>
      <c r="Q57" s="3" t="str">
        <f t="shared" si="8"/>
        <v>*DETALLE DE CUENTA:*
0 bidones de 12l
0 bidones de 20l
0 sodas
0 jugo
0 envase
0 extra
*TOTAL:*$0,00
*SALDO ANTERIOR:*$0,00
*MONTO TOTAL ADEUDADO:*$0,00</v>
      </c>
      <c r="R57" s="3" t="str">
        <f t="shared" si="1"/>
        <v>_Buen día ~Veronica Hillmann! Le paso el saldo pendiente:_
*DETALLE DE CUENTA:*
0 bidones de 12l
0 bidones de 20l
0 sodas
0 jugo
0 envase
0 extra
*TOTAL:*$0,00
*SALDO ANTERIOR:*$0,00
*MONTO TOTAL ADEUDADO:*$0,00</v>
      </c>
      <c r="T57" s="3" t="str">
        <f t="shared" si="16"/>
        <v>_Buen día ~Veronica Hillmann_</v>
      </c>
      <c r="U57" s="3" t="s">
        <v>54</v>
      </c>
      <c r="V57" s="3" t="str">
        <f t="shared" si="19"/>
        <v>_Buen día ~Veronica Hillmann_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58" spans="1:22" s="3" customFormat="1" x14ac:dyDescent="0.35">
      <c r="A58" s="16"/>
      <c r="B58" s="2">
        <v>9</v>
      </c>
      <c r="C58" s="2" t="s">
        <v>119</v>
      </c>
      <c r="D58" s="2">
        <v>3434407507</v>
      </c>
      <c r="E58" s="2" t="str">
        <f t="shared" si="12"/>
        <v>5493434407507</v>
      </c>
      <c r="F58" s="1">
        <v>0</v>
      </c>
      <c r="G58" s="6">
        <f t="shared" si="0"/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1">
        <v>0</v>
      </c>
      <c r="N58" s="1">
        <f t="shared" si="5"/>
        <v>0</v>
      </c>
      <c r="O58" s="1">
        <f t="shared" si="6"/>
        <v>0</v>
      </c>
      <c r="P58" s="3" t="str">
        <f t="shared" si="7"/>
        <v>_Buen día Daniela Carolina Burkhard! Le paso el saldo pendiente:_</v>
      </c>
      <c r="Q58" s="3" t="str">
        <f t="shared" si="8"/>
        <v>*DETALLE DE CUENTA:*
0 bidones de 12l
0 bidones de 20l
0 sodas
0 jugo
0 envase
0 extra
*TOTAL:*$0,00
*SALDO ANTERIOR:*$0,00
*MONTO TOTAL ADEUDADO:*$0,00</v>
      </c>
      <c r="R58" s="3" t="str">
        <f t="shared" si="1"/>
        <v>_Buen día Daniela Carolina Burkhard! Le paso el saldo pendiente:_
*DETALLE DE CUENTA:*
0 bidones de 12l
0 bidones de 20l
0 sodas
0 jugo
0 envase
0 extra
*TOTAL:*$0,00
*SALDO ANTERIOR:*$0,00
*MONTO TOTAL ADEUDADO:*$0,00</v>
      </c>
      <c r="T58" s="3" t="str">
        <f t="shared" si="16"/>
        <v>_Buen día Daniela Carolina Burkhard_</v>
      </c>
    </row>
    <row r="59" spans="1:22" s="3" customFormat="1" x14ac:dyDescent="0.35">
      <c r="A59" s="16"/>
      <c r="B59" s="2">
        <v>10</v>
      </c>
      <c r="C59" s="2" t="s">
        <v>63</v>
      </c>
      <c r="D59" s="2">
        <v>3434618432</v>
      </c>
      <c r="E59" s="2" t="str">
        <f t="shared" si="12"/>
        <v>5493434618432</v>
      </c>
      <c r="F59" s="1">
        <v>0</v>
      </c>
      <c r="G59" s="6">
        <f t="shared" si="0"/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1">
        <v>0</v>
      </c>
      <c r="N59" s="1">
        <f t="shared" si="5"/>
        <v>0</v>
      </c>
      <c r="O59" s="1">
        <f t="shared" si="6"/>
        <v>0</v>
      </c>
      <c r="P59" s="3" t="str">
        <f t="shared" si="7"/>
        <v>_Buen día María Guadalupe Godoy! Le paso el saldo pendiente:_</v>
      </c>
      <c r="Q59" s="3" t="str">
        <f t="shared" si="8"/>
        <v>*DETALLE DE CUENTA:*
0 bidones de 12l
0 bidones de 20l
0 sodas
0 jugo
0 envase
0 extra
*TOTAL:*$0,00
*SALDO ANTERIOR:*$0,00
*MONTO TOTAL ADEUDADO:*$0,00</v>
      </c>
      <c r="R59" s="3" t="str">
        <f t="shared" si="1"/>
        <v>_Buen día María Guadalupe Godoy! Le paso el saldo pendiente:_
*DETALLE DE CUENTA:*
0 bidones de 12l
0 bidones de 20l
0 sodas
0 jugo
0 envase
0 extra
*TOTAL:*$0,00
*SALDO ANTERIOR:*$0,00
*MONTO TOTAL ADEUDADO:*$0,00</v>
      </c>
      <c r="T59" s="3" t="str">
        <f t="shared" si="16"/>
        <v>_Buen día María Guadalupe Godoy_</v>
      </c>
      <c r="U59" s="3" t="s">
        <v>54</v>
      </c>
      <c r="V59" s="3" t="str">
        <f t="shared" ref="V59:V68" si="20">CONCATENATE(T59,U59)</f>
        <v>_Buen día María Guadalupe Godoy_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60" spans="1:22" s="3" customFormat="1" x14ac:dyDescent="0.35">
      <c r="A60" s="16"/>
      <c r="B60" s="2">
        <v>11</v>
      </c>
      <c r="C60" s="2" t="s">
        <v>64</v>
      </c>
      <c r="D60" s="2">
        <v>3434053358</v>
      </c>
      <c r="E60" s="2" t="str">
        <f t="shared" si="12"/>
        <v>5493434053358</v>
      </c>
      <c r="F60" s="1">
        <v>0</v>
      </c>
      <c r="G60" s="6">
        <f t="shared" si="0"/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1">
        <v>0</v>
      </c>
      <c r="N60" s="1">
        <f t="shared" si="5"/>
        <v>0</v>
      </c>
      <c r="O60" s="1">
        <f t="shared" si="6"/>
        <v>0</v>
      </c>
      <c r="P60" s="3" t="str">
        <f t="shared" si="7"/>
        <v>_Buen día Valentina Rodríguez ! Le paso el saldo pendiente:_</v>
      </c>
      <c r="Q60" s="3" t="str">
        <f t="shared" si="8"/>
        <v>*DETALLE DE CUENTA:*
0 bidones de 12l
0 bidones de 20l
0 sodas
0 jugo
0 envase
0 extra
*TOTAL:*$0,00
*SALDO ANTERIOR:*$0,00
*MONTO TOTAL ADEUDADO:*$0,00</v>
      </c>
      <c r="R60" s="3" t="str">
        <f t="shared" si="1"/>
        <v>_Buen día Valentina Rodríguez ! Le paso el saldo pendiente:_
*DETALLE DE CUENTA:*
0 bidones de 12l
0 bidones de 20l
0 sodas
0 jugo
0 envase
0 extra
*TOTAL:*$0,00
*SALDO ANTERIOR:*$0,00
*MONTO TOTAL ADEUDADO:*$0,00</v>
      </c>
      <c r="T60" s="3" t="str">
        <f t="shared" si="16"/>
        <v>_Buen día Valentina Rodríguez _</v>
      </c>
      <c r="U60" s="3" t="s">
        <v>54</v>
      </c>
      <c r="V60" s="3" t="str">
        <f t="shared" si="20"/>
        <v>_Buen día Valentina Rodríguez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61" spans="1:22" s="3" customFormat="1" x14ac:dyDescent="0.35">
      <c r="A61" s="16"/>
      <c r="B61" s="2">
        <v>12</v>
      </c>
      <c r="C61" s="2" t="s">
        <v>65</v>
      </c>
      <c r="D61" s="2">
        <v>3436224200</v>
      </c>
      <c r="E61" s="2" t="str">
        <f t="shared" si="12"/>
        <v>5493436224200</v>
      </c>
      <c r="F61" s="1">
        <v>0</v>
      </c>
      <c r="G61" s="6">
        <f t="shared" si="0"/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1">
        <v>0</v>
      </c>
      <c r="N61" s="1">
        <f t="shared" si="5"/>
        <v>0</v>
      </c>
      <c r="O61" s="1">
        <f t="shared" si="6"/>
        <v>0</v>
      </c>
      <c r="P61" s="3" t="str">
        <f t="shared" si="7"/>
        <v>_Buen día Ríos María Angela! Le paso el saldo pendiente:_</v>
      </c>
      <c r="Q61" s="3" t="str">
        <f t="shared" si="8"/>
        <v>*DETALLE DE CUENTA:*
0 bidones de 12l
0 bidones de 20l
0 sodas
0 jugo
0 envase
0 extra
*TOTAL:*$0,00
*SALDO ANTERIOR:*$0,00
*MONTO TOTAL ADEUDADO:*$0,00</v>
      </c>
      <c r="R61" s="3" t="str">
        <f t="shared" si="1"/>
        <v>_Buen día Ríos María Angela! Le paso el saldo pendiente:_
*DETALLE DE CUENTA:*
0 bidones de 12l
0 bidones de 20l
0 sodas
0 jugo
0 envase
0 extra
*TOTAL:*$0,00
*SALDO ANTERIOR:*$0,00
*MONTO TOTAL ADEUDADO:*$0,00</v>
      </c>
      <c r="T61" s="3" t="str">
        <f t="shared" si="16"/>
        <v>_Buen día Ríos María Angela_</v>
      </c>
      <c r="U61" s="3" t="s">
        <v>54</v>
      </c>
      <c r="V61" s="3" t="str">
        <f t="shared" si="20"/>
        <v>_Buen día Ríos María Angela_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62" spans="1:22" s="3" customFormat="1" x14ac:dyDescent="0.35">
      <c r="A62" s="16"/>
      <c r="B62" s="2">
        <v>13</v>
      </c>
      <c r="C62" s="2" t="s">
        <v>66</v>
      </c>
      <c r="D62" s="2">
        <v>3435026087</v>
      </c>
      <c r="E62" s="2" t="str">
        <f t="shared" si="12"/>
        <v>5493435026087</v>
      </c>
      <c r="F62" s="1">
        <v>0</v>
      </c>
      <c r="G62" s="6">
        <f t="shared" si="0"/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1">
        <v>0</v>
      </c>
      <c r="N62" s="1">
        <f t="shared" si="5"/>
        <v>0</v>
      </c>
      <c r="O62" s="1">
        <f t="shared" si="6"/>
        <v>0</v>
      </c>
      <c r="P62" s="3" t="str">
        <f t="shared" si="7"/>
        <v>_Buen día Armando Garcilazo! Le paso el saldo pendiente:_</v>
      </c>
      <c r="Q62" s="3" t="str">
        <f t="shared" si="8"/>
        <v>*DETALLE DE CUENTA:*
0 bidones de 12l
0 bidones de 20l
0 sodas
0 jugo
0 envase
0 extra
*TOTAL:*$0,00
*SALDO ANTERIOR:*$0,00
*MONTO TOTAL ADEUDADO:*$0,00</v>
      </c>
      <c r="R62" s="3" t="str">
        <f t="shared" si="1"/>
        <v>_Buen día Armando Garcilazo! Le paso el saldo pendiente:_
*DETALLE DE CUENTA:*
0 bidones de 12l
0 bidones de 20l
0 sodas
0 jugo
0 envase
0 extra
*TOTAL:*$0,00
*SALDO ANTERIOR:*$0,00
*MONTO TOTAL ADEUDADO:*$0,00</v>
      </c>
      <c r="T62" s="3" t="str">
        <f t="shared" si="16"/>
        <v>_Buen día Armando Garcilazo_</v>
      </c>
      <c r="U62" s="3" t="s">
        <v>54</v>
      </c>
      <c r="V62" s="3" t="str">
        <f t="shared" si="20"/>
        <v>_Buen día Armando Garcilazo_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63" spans="1:22" s="3" customFormat="1" x14ac:dyDescent="0.35">
      <c r="A63" s="16"/>
      <c r="B63" s="2">
        <v>14</v>
      </c>
      <c r="C63" s="2" t="s">
        <v>67</v>
      </c>
      <c r="D63" s="2">
        <v>3436211540</v>
      </c>
      <c r="E63" s="2" t="str">
        <f t="shared" si="12"/>
        <v>5493436211540</v>
      </c>
      <c r="F63" s="1">
        <v>0</v>
      </c>
      <c r="G63" s="6">
        <f t="shared" si="0"/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1">
        <v>0</v>
      </c>
      <c r="N63" s="1">
        <f t="shared" si="5"/>
        <v>0</v>
      </c>
      <c r="O63" s="1">
        <f t="shared" si="6"/>
        <v>0</v>
      </c>
      <c r="P63" s="3" t="str">
        <f t="shared" si="7"/>
        <v>_Buen día Jesica! Le paso el saldo pendiente:_</v>
      </c>
      <c r="Q63" s="3" t="str">
        <f t="shared" si="8"/>
        <v>*DETALLE DE CUENTA:*
0 bidones de 12l
0 bidones de 20l
0 sodas
0 jugo
0 envase
0 extra
*TOTAL:*$0,00
*SALDO ANTERIOR:*$0,00
*MONTO TOTAL ADEUDADO:*$0,00</v>
      </c>
      <c r="R63" s="3" t="str">
        <f t="shared" si="1"/>
        <v>_Buen día Jesica! Le paso el saldo pendiente:_
*DETALLE DE CUENTA:*
0 bidones de 12l
0 bidones de 20l
0 sodas
0 jugo
0 envase
0 extra
*TOTAL:*$0,00
*SALDO ANTERIOR:*$0,00
*MONTO TOTAL ADEUDADO:*$0,00</v>
      </c>
      <c r="T63" s="3" t="str">
        <f t="shared" si="16"/>
        <v>_Buen día Jesica_</v>
      </c>
      <c r="U63" s="3" t="s">
        <v>54</v>
      </c>
      <c r="V63" s="3" t="str">
        <f t="shared" si="20"/>
        <v>_Buen día Jesica_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64" spans="1:22" s="3" customFormat="1" x14ac:dyDescent="0.35">
      <c r="A64" s="16"/>
      <c r="B64" s="2">
        <v>15</v>
      </c>
      <c r="C64" s="2" t="s">
        <v>69</v>
      </c>
      <c r="D64" s="2">
        <v>3433001184</v>
      </c>
      <c r="E64" s="2" t="str">
        <f t="shared" si="12"/>
        <v>5493433001184</v>
      </c>
      <c r="F64" s="1">
        <v>0</v>
      </c>
      <c r="G64" s="6">
        <f t="shared" si="0"/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1">
        <v>0</v>
      </c>
      <c r="N64" s="1">
        <f t="shared" si="5"/>
        <v>0</v>
      </c>
      <c r="O64" s="1">
        <f t="shared" si="6"/>
        <v>0</v>
      </c>
      <c r="P64" s="3" t="str">
        <f t="shared" si="7"/>
        <v>_Buen día Jorge Lujan! Le paso el saldo pendiente:_</v>
      </c>
      <c r="Q64" s="3" t="str">
        <f t="shared" si="8"/>
        <v>*DETALLE DE CUENTA:*
0 bidones de 12l
0 bidones de 20l
0 sodas
0 jugo
0 envase
0 extra
*TOTAL:*$0,00
*SALDO ANTERIOR:*$0,00
*MONTO TOTAL ADEUDADO:*$0,00</v>
      </c>
      <c r="R64" s="3" t="str">
        <f t="shared" si="1"/>
        <v>_Buen día Jorge Lujan! Le paso el saldo pendiente:_
*DETALLE DE CUENTA:*
0 bidones de 12l
0 bidones de 20l
0 sodas
0 jugo
0 envase
0 extra
*TOTAL:*$0,00
*SALDO ANTERIOR:*$0,00
*MONTO TOTAL ADEUDADO:*$0,00</v>
      </c>
      <c r="T64" s="3" t="str">
        <f t="shared" si="16"/>
        <v>_Buen día Jorge Lujan_</v>
      </c>
      <c r="U64" s="3" t="s">
        <v>54</v>
      </c>
      <c r="V64" s="3" t="str">
        <f t="shared" si="20"/>
        <v>_Buen día Jorge Lujan_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65" spans="1:22" s="3" customFormat="1" x14ac:dyDescent="0.35">
      <c r="A65" s="16"/>
      <c r="B65" s="2">
        <v>16</v>
      </c>
      <c r="C65" s="2" t="s">
        <v>70</v>
      </c>
      <c r="D65" s="2">
        <v>3435254953</v>
      </c>
      <c r="E65" s="2" t="str">
        <f t="shared" si="12"/>
        <v>5493435254953</v>
      </c>
      <c r="F65" s="1">
        <v>0</v>
      </c>
      <c r="G65" s="6">
        <f t="shared" si="0"/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1">
        <v>0</v>
      </c>
      <c r="N65" s="1">
        <f t="shared" si="5"/>
        <v>0</v>
      </c>
      <c r="O65" s="1">
        <f t="shared" si="6"/>
        <v>0</v>
      </c>
      <c r="P65" s="3" t="str">
        <f t="shared" si="7"/>
        <v>_Buen día Marilin Larrea! Le paso el saldo pendiente:_</v>
      </c>
      <c r="Q65" s="3" t="str">
        <f t="shared" si="8"/>
        <v>*DETALLE DE CUENTA:*
0 bidones de 12l
0 bidones de 20l
0 sodas
0 jugo
0 envase
0 extra
*TOTAL:*$0,00
*SALDO ANTERIOR:*$0,00
*MONTO TOTAL ADEUDADO:*$0,00</v>
      </c>
      <c r="R65" s="3" t="str">
        <f t="shared" si="1"/>
        <v>_Buen día Marilin Larrea! Le paso el saldo pendiente:_
*DETALLE DE CUENTA:*
0 bidones de 12l
0 bidones de 20l
0 sodas
0 jugo
0 envase
0 extra
*TOTAL:*$0,00
*SALDO ANTERIOR:*$0,00
*MONTO TOTAL ADEUDADO:*$0,00</v>
      </c>
      <c r="T65" s="3" t="str">
        <f t="shared" si="16"/>
        <v>_Buen día Marilin Larrea_</v>
      </c>
      <c r="U65" s="3" t="s">
        <v>54</v>
      </c>
      <c r="V65" s="3" t="str">
        <f t="shared" si="20"/>
        <v>_Buen día Marilin Larrea_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66" spans="1:22" s="3" customFormat="1" x14ac:dyDescent="0.35">
      <c r="A66" s="16"/>
      <c r="B66" s="2">
        <v>17</v>
      </c>
      <c r="C66" s="2" t="s">
        <v>71</v>
      </c>
      <c r="D66" s="2">
        <v>3435443751</v>
      </c>
      <c r="E66" s="2" t="str">
        <f t="shared" si="12"/>
        <v>5493435443751</v>
      </c>
      <c r="F66" s="1">
        <v>0</v>
      </c>
      <c r="G66" s="6">
        <f t="shared" si="0"/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1">
        <v>0</v>
      </c>
      <c r="N66" s="1">
        <f t="shared" si="5"/>
        <v>0</v>
      </c>
      <c r="O66" s="1">
        <f t="shared" si="6"/>
        <v>0</v>
      </c>
      <c r="P66" s="3" t="str">
        <f t="shared" si="7"/>
        <v>_Buen día Darchez Pablo cesar! Le paso el saldo pendiente:_</v>
      </c>
      <c r="Q66" s="3" t="str">
        <f t="shared" si="8"/>
        <v>*DETALLE DE CUENTA:*
0 bidones de 12l
0 bidones de 20l
0 sodas
0 jugo
0 envase
0 extra
*TOTAL:*$0,00
*SALDO ANTERIOR:*$0,00
*MONTO TOTAL ADEUDADO:*$0,00</v>
      </c>
      <c r="R66" s="3" t="str">
        <f t="shared" si="1"/>
        <v>_Buen día Darchez Pablo cesar! Le paso el saldo pendiente:_
*DETALLE DE CUENTA:*
0 bidones de 12l
0 bidones de 20l
0 sodas
0 jugo
0 envase
0 extra
*TOTAL:*$0,00
*SALDO ANTERIOR:*$0,00
*MONTO TOTAL ADEUDADO:*$0,00</v>
      </c>
      <c r="T66" s="3" t="str">
        <f t="shared" si="16"/>
        <v>_Buen día Darchez Pablo cesar_</v>
      </c>
      <c r="U66" s="3" t="s">
        <v>54</v>
      </c>
      <c r="V66" s="3" t="str">
        <f t="shared" si="20"/>
        <v>_Buen día Darchez Pablo cesar_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67" spans="1:22" s="3" customFormat="1" x14ac:dyDescent="0.35">
      <c r="A67" s="16"/>
      <c r="B67" s="2">
        <v>18</v>
      </c>
      <c r="C67" s="2" t="s">
        <v>72</v>
      </c>
      <c r="D67" s="2">
        <v>3435058446</v>
      </c>
      <c r="E67" s="2" t="str">
        <f t="shared" si="12"/>
        <v>5493435058446</v>
      </c>
      <c r="F67" s="1">
        <v>0</v>
      </c>
      <c r="G67" s="6">
        <f t="shared" ref="G67:G124" si="21">F67+F67*0.1</f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1">
        <v>0</v>
      </c>
      <c r="N67" s="1">
        <f t="shared" si="5"/>
        <v>0</v>
      </c>
      <c r="O67" s="1">
        <f t="shared" si="6"/>
        <v>0</v>
      </c>
      <c r="P67" s="3" t="str">
        <f t="shared" si="7"/>
        <v>_Buen día Rodrigo Sampayo! Le paso el saldo pendiente:_</v>
      </c>
      <c r="Q67" s="3" t="str">
        <f t="shared" si="8"/>
        <v>*DETALLE DE CUENTA:*
0 bidones de 12l
0 bidones de 20l
0 sodas
0 jugo
0 envase
0 extra
*TOTAL:*$0,00
*SALDO ANTERIOR:*$0,00
*MONTO TOTAL ADEUDADO:*$0,00</v>
      </c>
      <c r="R67" s="3" t="str">
        <f t="shared" ref="R67:R124" si="22">CONCATENATE(P67,CHAR(10),Q67)</f>
        <v>_Buen día Rodrigo Sampayo! Le paso el saldo pendiente:_
*DETALLE DE CUENTA:*
0 bidones de 12l
0 bidones de 20l
0 sodas
0 jugo
0 envase
0 extra
*TOTAL:*$0,00
*SALDO ANTERIOR:*$0,00
*MONTO TOTAL ADEUDADO:*$0,00</v>
      </c>
      <c r="T67" s="3" t="str">
        <f t="shared" si="16"/>
        <v>_Buen día Rodrigo Sampayo_</v>
      </c>
      <c r="U67" s="3" t="s">
        <v>54</v>
      </c>
      <c r="V67" s="3" t="str">
        <f t="shared" si="20"/>
        <v>_Buen día Rodrigo Sampayo_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68" spans="1:22" s="3" customFormat="1" x14ac:dyDescent="0.35">
      <c r="A68" s="16"/>
      <c r="B68" s="2">
        <v>19</v>
      </c>
      <c r="C68" s="2" t="s">
        <v>110</v>
      </c>
      <c r="D68" s="2">
        <v>3434258641</v>
      </c>
      <c r="E68" s="2" t="str">
        <f t="shared" si="12"/>
        <v>5493434258641</v>
      </c>
      <c r="F68" s="1">
        <v>0</v>
      </c>
      <c r="G68" s="6">
        <f t="shared" si="21"/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1">
        <v>0</v>
      </c>
      <c r="N68" s="1">
        <f t="shared" ref="N68:N124" si="23">SUM(H68*3500,I68*5000,J68*1100,K68*6000,L68*7500)</f>
        <v>0</v>
      </c>
      <c r="O68" s="1">
        <f t="shared" ref="O68:O124" si="24">SUM(G68,N68,M68)</f>
        <v>0</v>
      </c>
      <c r="P68" s="3" t="str">
        <f t="shared" ref="P68:P124" si="25">CONCATENATE("_Buen día ",C68,"! Le paso el saldo pendiente:_")</f>
        <v>_Buen día ~yaqui perez! Le paso el saldo pendiente:_</v>
      </c>
      <c r="Q68" s="3" t="str">
        <f t="shared" ref="Q68:Q124" si="26">CONCATENATE("*DETALLE DE CUENTA:*
",H68," bidones de 12l
",I68," bidones de 20l
",J68," sodas
",K68," jugo
",L68," envase
",M68," extra
*TOTAL:*",TEXT(N68,"$#.##0,00"),"
*SALDO ANTERIOR:*",TEXT(G68,"$#.##0,00"),"
*MONTO TOTAL ADEUDADO:*",TEXT(O68,"$#.##0,00"))</f>
        <v>*DETALLE DE CUENTA:*
0 bidones de 12l
0 bidones de 20l
0 sodas
0 jugo
0 envase
0 extra
*TOTAL:*$0,00
*SALDO ANTERIOR:*$0,00
*MONTO TOTAL ADEUDADO:*$0,00</v>
      </c>
      <c r="R68" s="3" t="str">
        <f t="shared" si="22"/>
        <v>_Buen día ~yaqui perez! Le paso el saldo pendiente:_
*DETALLE DE CUENTA:*
0 bidones de 12l
0 bidones de 20l
0 sodas
0 jugo
0 envase
0 extra
*TOTAL:*$0,00
*SALDO ANTERIOR:*$0,00
*MONTO TOTAL ADEUDADO:*$0,00</v>
      </c>
      <c r="T68" s="3" t="str">
        <f t="shared" si="16"/>
        <v>_Buen día ~yaqui perez_</v>
      </c>
      <c r="U68" s="3" t="s">
        <v>54</v>
      </c>
      <c r="V68" s="3" t="str">
        <f t="shared" si="20"/>
        <v>_Buen día ~yaqui perez_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69" spans="1:22" x14ac:dyDescent="0.35">
      <c r="A69" s="16"/>
      <c r="B69" s="2">
        <v>20</v>
      </c>
      <c r="C69" s="2" t="s">
        <v>128</v>
      </c>
      <c r="D69" s="2">
        <v>3436112111</v>
      </c>
      <c r="E69" s="2" t="str">
        <f t="shared" si="12"/>
        <v>5493436112111</v>
      </c>
      <c r="F69" s="1">
        <v>0</v>
      </c>
      <c r="G69" s="6">
        <f t="shared" si="21"/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1">
        <v>0</v>
      </c>
      <c r="N69" s="1">
        <f t="shared" si="23"/>
        <v>0</v>
      </c>
      <c r="O69" s="1">
        <f t="shared" si="24"/>
        <v>0</v>
      </c>
      <c r="P69" s="3" t="str">
        <f t="shared" si="25"/>
        <v>_Buen día Hugo Darchez! Le paso el saldo pendiente:_</v>
      </c>
      <c r="Q69" s="3" t="str">
        <f t="shared" si="26"/>
        <v>*DETALLE DE CUENTA:*
0 bidones de 12l
0 bidones de 20l
0 sodas
0 jugo
0 envase
0 extra
*TOTAL:*$0,00
*SALDO ANTERIOR:*$0,00
*MONTO TOTAL ADEUDADO:*$0,00</v>
      </c>
      <c r="R69" s="3" t="str">
        <f t="shared" si="22"/>
        <v>_Buen día Hugo Darchez! Le paso el saldo pendiente:_
*DETALLE DE CUENTA:*
0 bidones de 12l
0 bidones de 20l
0 sodas
0 jugo
0 envase
0 extra
*TOTAL:*$0,00
*SALDO ANTERIOR:*$0,00
*MONTO TOTAL ADEUDADO:*$0,00</v>
      </c>
      <c r="T69" s="3" t="str">
        <f t="shared" si="16"/>
        <v>_Buen día Hugo Darchez_</v>
      </c>
    </row>
    <row r="70" spans="1:22" s="3" customFormat="1" x14ac:dyDescent="0.35">
      <c r="A70" s="16"/>
      <c r="B70" s="2">
        <v>21</v>
      </c>
      <c r="C70" s="2" t="s">
        <v>73</v>
      </c>
      <c r="D70" s="2">
        <v>3434509749</v>
      </c>
      <c r="E70" s="2" t="str">
        <f t="shared" si="12"/>
        <v>5493434509749</v>
      </c>
      <c r="F70" s="1">
        <v>0</v>
      </c>
      <c r="G70" s="6">
        <f t="shared" si="21"/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1">
        <v>0</v>
      </c>
      <c r="N70" s="1">
        <f t="shared" si="23"/>
        <v>0</v>
      </c>
      <c r="O70" s="1">
        <f t="shared" si="24"/>
        <v>0</v>
      </c>
      <c r="P70" s="3" t="str">
        <f t="shared" si="25"/>
        <v>_Buen día Julio! Le paso el saldo pendiente:_</v>
      </c>
      <c r="Q70" s="3" t="str">
        <f t="shared" si="26"/>
        <v>*DETALLE DE CUENTA:*
0 bidones de 12l
0 bidones de 20l
0 sodas
0 jugo
0 envase
0 extra
*TOTAL:*$0,00
*SALDO ANTERIOR:*$0,00
*MONTO TOTAL ADEUDADO:*$0,00</v>
      </c>
      <c r="R70" s="3" t="str">
        <f t="shared" si="22"/>
        <v>_Buen día Julio! Le paso el saldo pendiente:_
*DETALLE DE CUENTA:*
0 bidones de 12l
0 bidones de 20l
0 sodas
0 jugo
0 envase
0 extra
*TOTAL:*$0,00
*SALDO ANTERIOR:*$0,00
*MONTO TOTAL ADEUDADO:*$0,00</v>
      </c>
      <c r="T70" s="3" t="str">
        <f t="shared" si="16"/>
        <v>_Buen día Julio_</v>
      </c>
      <c r="U70" s="3" t="s">
        <v>54</v>
      </c>
      <c r="V70" s="3" t="str">
        <f t="shared" ref="V70:V77" si="27">CONCATENATE(T70,U70)</f>
        <v>_Buen día Julio_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71" spans="1:22" s="3" customFormat="1" x14ac:dyDescent="0.35">
      <c r="A71" s="16"/>
      <c r="B71" s="2">
        <v>22</v>
      </c>
      <c r="C71" s="2" t="s">
        <v>62</v>
      </c>
      <c r="D71" s="2">
        <v>3434752434</v>
      </c>
      <c r="E71" s="2" t="str">
        <f t="shared" si="12"/>
        <v>5493434752434</v>
      </c>
      <c r="F71" s="1">
        <v>0</v>
      </c>
      <c r="G71" s="6">
        <f t="shared" si="21"/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1">
        <v>0</v>
      </c>
      <c r="N71" s="1">
        <f t="shared" si="23"/>
        <v>0</v>
      </c>
      <c r="O71" s="1">
        <f t="shared" si="24"/>
        <v>0</v>
      </c>
      <c r="P71" s="3" t="str">
        <f t="shared" si="25"/>
        <v>_Buen día Silvia Grenat ! Le paso el saldo pendiente:_</v>
      </c>
      <c r="Q71" s="3" t="str">
        <f t="shared" si="26"/>
        <v>*DETALLE DE CUENTA:*
0 bidones de 12l
0 bidones de 20l
0 sodas
0 jugo
0 envase
0 extra
*TOTAL:*$0,00
*SALDO ANTERIOR:*$0,00
*MONTO TOTAL ADEUDADO:*$0,00</v>
      </c>
      <c r="R71" s="3" t="str">
        <f t="shared" si="22"/>
        <v>_Buen día Silvia Grenat ! Le paso el saldo pendiente:_
*DETALLE DE CUENTA:*
0 bidones de 12l
0 bidones de 20l
0 sodas
0 jugo
0 envase
0 extra
*TOTAL:*$0,00
*SALDO ANTERIOR:*$0,00
*MONTO TOTAL ADEUDADO:*$0,00</v>
      </c>
      <c r="T71" s="3" t="str">
        <f t="shared" si="16"/>
        <v>_Buen día Silvia Grenat _</v>
      </c>
      <c r="U71" s="3" t="s">
        <v>54</v>
      </c>
      <c r="V71" s="3" t="str">
        <f t="shared" si="27"/>
        <v>_Buen día Silvia Grenat 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72" spans="1:22" s="3" customFormat="1" x14ac:dyDescent="0.35">
      <c r="A72" s="16"/>
      <c r="B72" s="2">
        <v>23</v>
      </c>
      <c r="C72" s="2" t="s">
        <v>74</v>
      </c>
      <c r="D72" s="2">
        <v>3434576391</v>
      </c>
      <c r="E72" s="2" t="str">
        <f t="shared" si="12"/>
        <v>5493434576391</v>
      </c>
      <c r="F72" s="1">
        <v>0</v>
      </c>
      <c r="G72" s="6">
        <f t="shared" si="21"/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1">
        <v>0</v>
      </c>
      <c r="N72" s="1">
        <f t="shared" si="23"/>
        <v>0</v>
      </c>
      <c r="O72" s="1">
        <f t="shared" si="24"/>
        <v>0</v>
      </c>
      <c r="P72" s="3" t="str">
        <f t="shared" si="25"/>
        <v>_Buen día Pedro BARRIOS! Le paso el saldo pendiente:_</v>
      </c>
      <c r="Q72" s="3" t="str">
        <f t="shared" si="26"/>
        <v>*DETALLE DE CUENTA:*
0 bidones de 12l
0 bidones de 20l
0 sodas
0 jugo
0 envase
0 extra
*TOTAL:*$0,00
*SALDO ANTERIOR:*$0,00
*MONTO TOTAL ADEUDADO:*$0,00</v>
      </c>
      <c r="R72" s="3" t="str">
        <f t="shared" si="22"/>
        <v>_Buen día Pedro BARRIOS! Le paso el saldo pendiente:_
*DETALLE DE CUENTA:*
0 bidones de 12l
0 bidones de 20l
0 sodas
0 jugo
0 envase
0 extra
*TOTAL:*$0,00
*SALDO ANTERIOR:*$0,00
*MONTO TOTAL ADEUDADO:*$0,00</v>
      </c>
      <c r="T72" s="3" t="str">
        <f t="shared" si="16"/>
        <v>_Buen día Pedro BARRIOS_</v>
      </c>
      <c r="U72" s="3" t="s">
        <v>54</v>
      </c>
      <c r="V72" s="3" t="str">
        <f t="shared" si="27"/>
        <v>_Buen día Pedro BARRIOS_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73" spans="1:22" s="3" customFormat="1" x14ac:dyDescent="0.35">
      <c r="A73" s="16"/>
      <c r="B73" s="2">
        <v>24</v>
      </c>
      <c r="C73" s="2" t="s">
        <v>75</v>
      </c>
      <c r="D73" s="2">
        <v>3436212121</v>
      </c>
      <c r="E73" s="2" t="str">
        <f t="shared" si="12"/>
        <v>5493436212121</v>
      </c>
      <c r="F73" s="1">
        <v>0</v>
      </c>
      <c r="G73" s="6">
        <f t="shared" si="21"/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1">
        <v>0</v>
      </c>
      <c r="N73" s="1">
        <f t="shared" si="23"/>
        <v>0</v>
      </c>
      <c r="O73" s="1">
        <f t="shared" si="24"/>
        <v>0</v>
      </c>
      <c r="P73" s="3" t="str">
        <f t="shared" si="25"/>
        <v>_Buen día Carolina Lima! Le paso el saldo pendiente:_</v>
      </c>
      <c r="Q73" s="3" t="str">
        <f t="shared" si="26"/>
        <v>*DETALLE DE CUENTA:*
0 bidones de 12l
0 bidones de 20l
0 sodas
0 jugo
0 envase
0 extra
*TOTAL:*$0,00
*SALDO ANTERIOR:*$0,00
*MONTO TOTAL ADEUDADO:*$0,00</v>
      </c>
      <c r="R73" s="3" t="str">
        <f t="shared" si="22"/>
        <v>_Buen día Carolina Lima! Le paso el saldo pendiente:_
*DETALLE DE CUENTA:*
0 bidones de 12l
0 bidones de 20l
0 sodas
0 jugo
0 envase
0 extra
*TOTAL:*$0,00
*SALDO ANTERIOR:*$0,00
*MONTO TOTAL ADEUDADO:*$0,00</v>
      </c>
      <c r="T73" s="3" t="str">
        <f t="shared" si="16"/>
        <v>_Buen día Carolina Lima_</v>
      </c>
      <c r="U73" s="3" t="s">
        <v>54</v>
      </c>
      <c r="V73" s="3" t="str">
        <f t="shared" si="27"/>
        <v>_Buen día Carolina Lima_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74" spans="1:22" s="3" customFormat="1" x14ac:dyDescent="0.35">
      <c r="A74" s="16"/>
      <c r="B74" s="2">
        <v>25</v>
      </c>
      <c r="C74" s="2" t="s">
        <v>78</v>
      </c>
      <c r="D74" s="2">
        <v>3435016321</v>
      </c>
      <c r="E74" s="2" t="str">
        <f t="shared" si="12"/>
        <v>5493435016321</v>
      </c>
      <c r="F74" s="1">
        <v>0</v>
      </c>
      <c r="G74" s="6">
        <f t="shared" si="21"/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1">
        <v>0</v>
      </c>
      <c r="N74" s="1">
        <f t="shared" si="23"/>
        <v>0</v>
      </c>
      <c r="O74" s="1">
        <f t="shared" si="24"/>
        <v>0</v>
      </c>
      <c r="P74" s="3" t="str">
        <f t="shared" si="25"/>
        <v>_Buen día JUAN PABLO ENRIQUEZ! Le paso el saldo pendiente:_</v>
      </c>
      <c r="Q74" s="3" t="str">
        <f t="shared" si="26"/>
        <v>*DETALLE DE CUENTA:*
0 bidones de 12l
0 bidones de 20l
0 sodas
0 jugo
0 envase
0 extra
*TOTAL:*$0,00
*SALDO ANTERIOR:*$0,00
*MONTO TOTAL ADEUDADO:*$0,00</v>
      </c>
      <c r="R74" s="3" t="str">
        <f t="shared" si="22"/>
        <v>_Buen día JUAN PABLO ENRIQUEZ! Le paso el saldo pendiente:_
*DETALLE DE CUENTA:*
0 bidones de 12l
0 bidones de 20l
0 sodas
0 jugo
0 envase
0 extra
*TOTAL:*$0,00
*SALDO ANTERIOR:*$0,00
*MONTO TOTAL ADEUDADO:*$0,00</v>
      </c>
      <c r="T74" s="3" t="str">
        <f t="shared" si="16"/>
        <v>_Buen día JUAN PABLO ENRIQUEZ_</v>
      </c>
      <c r="U74" s="3" t="s">
        <v>54</v>
      </c>
      <c r="V74" s="3" t="str">
        <f t="shared" si="27"/>
        <v>_Buen día JUAN PABLO ENRIQUEZ_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75" spans="1:22" s="3" customFormat="1" x14ac:dyDescent="0.35">
      <c r="A75" s="16"/>
      <c r="B75" s="2">
        <v>26</v>
      </c>
      <c r="C75" s="2" t="s">
        <v>76</v>
      </c>
      <c r="D75" s="2">
        <v>3436238756</v>
      </c>
      <c r="E75" s="2" t="str">
        <f t="shared" si="12"/>
        <v>5493436238756</v>
      </c>
      <c r="F75" s="1">
        <v>0</v>
      </c>
      <c r="G75" s="6">
        <f t="shared" si="21"/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1">
        <v>0</v>
      </c>
      <c r="N75" s="1">
        <f t="shared" si="23"/>
        <v>0</v>
      </c>
      <c r="O75" s="1">
        <f t="shared" si="24"/>
        <v>0</v>
      </c>
      <c r="P75" s="3" t="str">
        <f t="shared" si="25"/>
        <v>_Buen día Patat Ines! Le paso el saldo pendiente:_</v>
      </c>
      <c r="Q75" s="3" t="str">
        <f t="shared" si="26"/>
        <v>*DETALLE DE CUENTA:*
0 bidones de 12l
0 bidones de 20l
0 sodas
0 jugo
0 envase
0 extra
*TOTAL:*$0,00
*SALDO ANTERIOR:*$0,00
*MONTO TOTAL ADEUDADO:*$0,00</v>
      </c>
      <c r="R75" s="3" t="str">
        <f t="shared" si="22"/>
        <v>_Buen día Patat Ines! Le paso el saldo pendiente:_
*DETALLE DE CUENTA:*
0 bidones de 12l
0 bidones de 20l
0 sodas
0 jugo
0 envase
0 extra
*TOTAL:*$0,00
*SALDO ANTERIOR:*$0,00
*MONTO TOTAL ADEUDADO:*$0,00</v>
      </c>
      <c r="T75" s="3" t="str">
        <f t="shared" si="16"/>
        <v>_Buen día Patat Ines_</v>
      </c>
      <c r="U75" s="3" t="s">
        <v>54</v>
      </c>
      <c r="V75" s="3" t="str">
        <f t="shared" si="27"/>
        <v>_Buen día Patat Ines_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76" spans="1:22" s="3" customFormat="1" x14ac:dyDescent="0.35">
      <c r="A76" s="16"/>
      <c r="B76" s="2">
        <v>27</v>
      </c>
      <c r="C76" s="2" t="s">
        <v>77</v>
      </c>
      <c r="D76" s="2">
        <v>3434680419</v>
      </c>
      <c r="E76" s="2" t="str">
        <f t="shared" si="12"/>
        <v>5493434680419</v>
      </c>
      <c r="F76" s="1">
        <v>0</v>
      </c>
      <c r="G76" s="6">
        <f t="shared" si="21"/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1">
        <v>0</v>
      </c>
      <c r="N76" s="1">
        <f t="shared" si="23"/>
        <v>0</v>
      </c>
      <c r="O76" s="1">
        <f t="shared" si="24"/>
        <v>0</v>
      </c>
      <c r="P76" s="3" t="str">
        <f t="shared" si="25"/>
        <v>_Buen día Jeremías Dreiszigacker! Le paso el saldo pendiente:_</v>
      </c>
      <c r="Q76" s="3" t="str">
        <f t="shared" si="26"/>
        <v>*DETALLE DE CUENTA:*
0 bidones de 12l
0 bidones de 20l
0 sodas
0 jugo
0 envase
0 extra
*TOTAL:*$0,00
*SALDO ANTERIOR:*$0,00
*MONTO TOTAL ADEUDADO:*$0,00</v>
      </c>
      <c r="R76" s="3" t="str">
        <f t="shared" si="22"/>
        <v>_Buen día Jeremías Dreiszigacker! Le paso el saldo pendiente:_
*DETALLE DE CUENTA:*
0 bidones de 12l
0 bidones de 20l
0 sodas
0 jugo
0 envase
0 extra
*TOTAL:*$0,00
*SALDO ANTERIOR:*$0,00
*MONTO TOTAL ADEUDADO:*$0,00</v>
      </c>
      <c r="T76" s="3" t="str">
        <f t="shared" si="16"/>
        <v>_Buen día Jeremías Dreiszigacker_</v>
      </c>
      <c r="U76" s="3" t="s">
        <v>54</v>
      </c>
      <c r="V76" s="3" t="str">
        <f t="shared" si="27"/>
        <v>_Buen día Jeremías Dreiszigacker_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77" spans="1:22" s="3" customFormat="1" x14ac:dyDescent="0.35">
      <c r="A77" s="16"/>
      <c r="B77" s="2">
        <v>28</v>
      </c>
      <c r="C77" s="2" t="s">
        <v>79</v>
      </c>
      <c r="D77" s="2">
        <v>3434476230</v>
      </c>
      <c r="E77" s="2" t="str">
        <f t="shared" si="12"/>
        <v>5493434476230</v>
      </c>
      <c r="F77" s="1">
        <v>0</v>
      </c>
      <c r="G77" s="6">
        <f t="shared" si="21"/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1">
        <v>0</v>
      </c>
      <c r="N77" s="1">
        <f t="shared" si="23"/>
        <v>0</v>
      </c>
      <c r="O77" s="1">
        <f t="shared" si="24"/>
        <v>0</v>
      </c>
      <c r="P77" s="3" t="str">
        <f t="shared" si="25"/>
        <v>_Buen día Marianela Ramos! Le paso el saldo pendiente:_</v>
      </c>
      <c r="Q77" s="3" t="str">
        <f t="shared" si="26"/>
        <v>*DETALLE DE CUENTA:*
0 bidones de 12l
0 bidones de 20l
0 sodas
0 jugo
0 envase
0 extra
*TOTAL:*$0,00
*SALDO ANTERIOR:*$0,00
*MONTO TOTAL ADEUDADO:*$0,00</v>
      </c>
      <c r="R77" s="3" t="str">
        <f t="shared" si="22"/>
        <v>_Buen día Marianela Ramos! Le paso el saldo pendiente:_
*DETALLE DE CUENTA:*
0 bidones de 12l
0 bidones de 20l
0 sodas
0 jugo
0 envase
0 extra
*TOTAL:*$0,00
*SALDO ANTERIOR:*$0,00
*MONTO TOTAL ADEUDADO:*$0,00</v>
      </c>
      <c r="T77" s="3" t="str">
        <f t="shared" si="16"/>
        <v>_Buen día Marianela Ramos_</v>
      </c>
      <c r="U77" s="3" t="s">
        <v>54</v>
      </c>
      <c r="V77" s="3" t="str">
        <f t="shared" si="27"/>
        <v>_Buen día Marianela Ramos_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78" spans="1:22" s="3" customFormat="1" x14ac:dyDescent="0.35">
      <c r="A78" s="16"/>
      <c r="B78" s="2">
        <v>29</v>
      </c>
      <c r="C78" s="2" t="s">
        <v>116</v>
      </c>
      <c r="D78" s="2">
        <v>3434670632</v>
      </c>
      <c r="E78" s="2" t="str">
        <f t="shared" si="12"/>
        <v>5493434670632</v>
      </c>
      <c r="F78" s="1">
        <v>0</v>
      </c>
      <c r="G78" s="6">
        <f t="shared" si="21"/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1">
        <v>0</v>
      </c>
      <c r="N78" s="1">
        <f t="shared" si="23"/>
        <v>0</v>
      </c>
      <c r="O78" s="1">
        <f t="shared" si="24"/>
        <v>0</v>
      </c>
      <c r="P78" s="3" t="str">
        <f t="shared" si="25"/>
        <v>_Buen día Delfina Ramirez! Le paso el saldo pendiente:_</v>
      </c>
      <c r="Q78" s="3" t="str">
        <f t="shared" si="26"/>
        <v>*DETALLE DE CUENTA:*
0 bidones de 12l
0 bidones de 20l
0 sodas
0 jugo
0 envase
0 extra
*TOTAL:*$0,00
*SALDO ANTERIOR:*$0,00
*MONTO TOTAL ADEUDADO:*$0,00</v>
      </c>
      <c r="R78" s="3" t="str">
        <f t="shared" si="22"/>
        <v>_Buen día Delfina Ramirez! Le paso el saldo pendiente:_
*DETALLE DE CUENTA:*
0 bidones de 12l
0 bidones de 20l
0 sodas
0 jugo
0 envase
0 extra
*TOTAL:*$0,00
*SALDO ANTERIOR:*$0,00
*MONTO TOTAL ADEUDADO:*$0,00</v>
      </c>
      <c r="S78" s="3" t="s">
        <v>54</v>
      </c>
      <c r="T78" s="3" t="str">
        <f t="shared" ref="T78" si="28">CONCATENATE(R78,S78)</f>
        <v>_Buen día Delfina Ramirez! Le paso el saldo pendiente:_
*DETALLE DE CUENTA:*
0 bidones de 12l
0 bidones de 20l
0 sodas
0 jugo
0 envase
0 extra
*TOTAL:*$0,00
*SALDO ANTERIOR:*$0,00
*MONTO TOTAL ADEUDADO:*$0,00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79" spans="1:22" s="3" customFormat="1" x14ac:dyDescent="0.35">
      <c r="A79" s="16"/>
      <c r="B79" s="2">
        <v>30</v>
      </c>
      <c r="C79" s="2" t="s">
        <v>80</v>
      </c>
      <c r="D79" s="2">
        <v>3434514742</v>
      </c>
      <c r="E79" s="2" t="str">
        <f t="shared" si="12"/>
        <v>5493434514742</v>
      </c>
      <c r="F79" s="1">
        <v>0</v>
      </c>
      <c r="G79" s="6">
        <f t="shared" si="21"/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1">
        <v>0</v>
      </c>
      <c r="N79" s="1">
        <f t="shared" si="23"/>
        <v>0</v>
      </c>
      <c r="O79" s="1">
        <f t="shared" si="24"/>
        <v>0</v>
      </c>
      <c r="P79" s="3" t="str">
        <f t="shared" si="25"/>
        <v>_Buen día Mariela Albornoz! Le paso el saldo pendiente:_</v>
      </c>
      <c r="Q79" s="3" t="str">
        <f t="shared" si="26"/>
        <v>*DETALLE DE CUENTA:*
0 bidones de 12l
0 bidones de 20l
0 sodas
0 jugo
0 envase
0 extra
*TOTAL:*$0,00
*SALDO ANTERIOR:*$0,00
*MONTO TOTAL ADEUDADO:*$0,00</v>
      </c>
      <c r="R79" s="3" t="str">
        <f t="shared" si="22"/>
        <v>_Buen día Mariela Albornoz! Le paso el saldo pendiente:_
*DETALLE DE CUENTA:*
0 bidones de 12l
0 bidones de 20l
0 sodas
0 jugo
0 envase
0 extra
*TOTAL:*$0,00
*SALDO ANTERIOR:*$0,00
*MONTO TOTAL ADEUDADO:*$0,00</v>
      </c>
      <c r="T79" s="3" t="str">
        <f t="shared" ref="T79:T98" si="29">CONCATENATE("_Buen día ",C79,"_")</f>
        <v>_Buen día Mariela Albornoz_</v>
      </c>
      <c r="U79" s="3" t="s">
        <v>54</v>
      </c>
      <c r="V79" s="3" t="str">
        <f t="shared" ref="V79:V80" si="30">CONCATENATE(T79,U79)</f>
        <v>_Buen día Mariela Albornoz_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80" spans="1:22" s="3" customFormat="1" x14ac:dyDescent="0.35">
      <c r="A80" s="16"/>
      <c r="B80" s="2">
        <v>31</v>
      </c>
      <c r="C80" s="2" t="s">
        <v>81</v>
      </c>
      <c r="D80" s="2">
        <v>3435303924</v>
      </c>
      <c r="E80" s="2" t="str">
        <f t="shared" si="12"/>
        <v>5493435303924</v>
      </c>
      <c r="F80" s="1">
        <v>0</v>
      </c>
      <c r="G80" s="6">
        <f t="shared" si="21"/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1">
        <v>0</v>
      </c>
      <c r="N80" s="1">
        <f t="shared" si="23"/>
        <v>0</v>
      </c>
      <c r="O80" s="1">
        <f t="shared" si="24"/>
        <v>0</v>
      </c>
      <c r="P80" s="3" t="str">
        <f t="shared" si="25"/>
        <v>_Buen día Candela Campos! Le paso el saldo pendiente:_</v>
      </c>
      <c r="Q80" s="3" t="str">
        <f t="shared" si="26"/>
        <v>*DETALLE DE CUENTA:*
0 bidones de 12l
0 bidones de 20l
0 sodas
0 jugo
0 envase
0 extra
*TOTAL:*$0,00
*SALDO ANTERIOR:*$0,00
*MONTO TOTAL ADEUDADO:*$0,00</v>
      </c>
      <c r="R80" s="3" t="str">
        <f t="shared" si="22"/>
        <v>_Buen día Candela Campos! Le paso el saldo pendiente:_
*DETALLE DE CUENTA:*
0 bidones de 12l
0 bidones de 20l
0 sodas
0 jugo
0 envase
0 extra
*TOTAL:*$0,00
*SALDO ANTERIOR:*$0,00
*MONTO TOTAL ADEUDADO:*$0,00</v>
      </c>
      <c r="T80" s="3" t="str">
        <f t="shared" si="29"/>
        <v>_Buen día Candela Campos_</v>
      </c>
      <c r="U80" s="3" t="s">
        <v>54</v>
      </c>
      <c r="V80" s="3" t="str">
        <f t="shared" si="30"/>
        <v>_Buen día Candela Campos_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81" spans="1:22" x14ac:dyDescent="0.35">
      <c r="A81" s="16"/>
      <c r="B81" s="2">
        <v>32</v>
      </c>
      <c r="C81" s="2" t="s">
        <v>129</v>
      </c>
      <c r="D81" s="2">
        <v>3434470259</v>
      </c>
      <c r="E81" s="2" t="str">
        <f t="shared" si="12"/>
        <v>5493434470259</v>
      </c>
      <c r="F81" s="1">
        <v>0</v>
      </c>
      <c r="G81" s="6">
        <f t="shared" si="21"/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1">
        <v>0</v>
      </c>
      <c r="N81" s="1">
        <f t="shared" si="23"/>
        <v>0</v>
      </c>
      <c r="O81" s="1">
        <f t="shared" si="24"/>
        <v>0</v>
      </c>
      <c r="P81" s="3" t="str">
        <f t="shared" si="25"/>
        <v>_Buen día Fontana Juan! Le paso el saldo pendiente:_</v>
      </c>
      <c r="Q81" s="3" t="str">
        <f t="shared" si="26"/>
        <v>*DETALLE DE CUENTA:*
0 bidones de 12l
0 bidones de 20l
0 sodas
0 jugo
0 envase
0 extra
*TOTAL:*$0,00
*SALDO ANTERIOR:*$0,00
*MONTO TOTAL ADEUDADO:*$0,00</v>
      </c>
      <c r="R81" s="3" t="str">
        <f t="shared" si="22"/>
        <v>_Buen día Fontana Juan! Le paso el saldo pendiente:_
*DETALLE DE CUENTA:*
0 bidones de 12l
0 bidones de 20l
0 sodas
0 jugo
0 envase
0 extra
*TOTAL:*$0,00
*SALDO ANTERIOR:*$0,00
*MONTO TOTAL ADEUDADO:*$0,00</v>
      </c>
      <c r="T81" s="3" t="str">
        <f t="shared" si="29"/>
        <v>_Buen día Fontana Juan_</v>
      </c>
    </row>
    <row r="82" spans="1:22" x14ac:dyDescent="0.35">
      <c r="A82" s="16" t="s">
        <v>144</v>
      </c>
      <c r="B82" s="2">
        <v>1</v>
      </c>
      <c r="C82" s="2" t="s">
        <v>131</v>
      </c>
      <c r="D82" s="2">
        <v>3435210116</v>
      </c>
      <c r="E82" s="2" t="str">
        <f t="shared" si="12"/>
        <v>5493435210116</v>
      </c>
      <c r="F82" s="1">
        <v>0</v>
      </c>
      <c r="G82" s="6">
        <f t="shared" si="21"/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1">
        <v>0</v>
      </c>
      <c r="N82" s="1">
        <f t="shared" si="23"/>
        <v>0</v>
      </c>
      <c r="O82" s="1">
        <f t="shared" si="24"/>
        <v>0</v>
      </c>
      <c r="P82" s="3" t="str">
        <f t="shared" si="25"/>
        <v>_Buen día Sergio Arnica! Le paso el saldo pendiente:_</v>
      </c>
      <c r="Q82" s="3" t="str">
        <f t="shared" si="26"/>
        <v>*DETALLE DE CUENTA:*
0 bidones de 12l
0 bidones de 20l
0 sodas
0 jugo
0 envase
0 extra
*TOTAL:*$0,00
*SALDO ANTERIOR:*$0,00
*MONTO TOTAL ADEUDADO:*$0,00</v>
      </c>
      <c r="R82" s="3" t="str">
        <f t="shared" si="22"/>
        <v>_Buen día Sergio Arnica! Le paso el saldo pendiente:_
*DETALLE DE CUENTA:*
0 bidones de 12l
0 bidones de 20l
0 sodas
0 jugo
0 envase
0 extra
*TOTAL:*$0,00
*SALDO ANTERIOR:*$0,00
*MONTO TOTAL ADEUDADO:*$0,00</v>
      </c>
      <c r="T82" s="3" t="str">
        <f t="shared" si="29"/>
        <v>_Buen día Sergio Arnica_</v>
      </c>
    </row>
    <row r="83" spans="1:22" x14ac:dyDescent="0.35">
      <c r="A83" s="16"/>
      <c r="B83" s="2">
        <v>2</v>
      </c>
      <c r="C83" s="2" t="s">
        <v>130</v>
      </c>
      <c r="D83" s="2">
        <v>3434585750</v>
      </c>
      <c r="E83" s="2" t="str">
        <f t="shared" si="12"/>
        <v>5493434585750</v>
      </c>
      <c r="F83" s="1">
        <v>0</v>
      </c>
      <c r="G83" s="6">
        <f t="shared" si="21"/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1">
        <v>0</v>
      </c>
      <c r="N83" s="1">
        <f t="shared" si="23"/>
        <v>0</v>
      </c>
      <c r="O83" s="1">
        <f t="shared" si="24"/>
        <v>0</v>
      </c>
      <c r="P83" s="3" t="str">
        <f t="shared" si="25"/>
        <v>_Buen día Topino Liliana! Le paso el saldo pendiente:_</v>
      </c>
      <c r="Q83" s="3" t="str">
        <f t="shared" si="26"/>
        <v>*DETALLE DE CUENTA:*
0 bidones de 12l
0 bidones de 20l
0 sodas
0 jugo
0 envase
0 extra
*TOTAL:*$0,00
*SALDO ANTERIOR:*$0,00
*MONTO TOTAL ADEUDADO:*$0,00</v>
      </c>
      <c r="R83" s="3" t="str">
        <f t="shared" si="22"/>
        <v>_Buen día Topino Liliana! Le paso el saldo pendiente:_
*DETALLE DE CUENTA:*
0 bidones de 12l
0 bidones de 20l
0 sodas
0 jugo
0 envase
0 extra
*TOTAL:*$0,00
*SALDO ANTERIOR:*$0,00
*MONTO TOTAL ADEUDADO:*$0,00</v>
      </c>
      <c r="T83" s="3" t="str">
        <f t="shared" si="29"/>
        <v>_Buen día Topino Liliana_</v>
      </c>
    </row>
    <row r="84" spans="1:22" s="3" customFormat="1" ht="14.5" customHeight="1" x14ac:dyDescent="0.35">
      <c r="A84" s="16"/>
      <c r="B84" s="2">
        <v>3</v>
      </c>
      <c r="C84" s="2" t="s">
        <v>82</v>
      </c>
      <c r="D84" s="2">
        <v>3435040958</v>
      </c>
      <c r="E84" s="2" t="str">
        <f t="shared" si="12"/>
        <v>5493435040958</v>
      </c>
      <c r="F84" s="1">
        <v>0</v>
      </c>
      <c r="G84" s="6">
        <f t="shared" si="21"/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1">
        <v>0</v>
      </c>
      <c r="N84" s="1">
        <f t="shared" si="23"/>
        <v>0</v>
      </c>
      <c r="O84" s="1">
        <f t="shared" si="24"/>
        <v>0</v>
      </c>
      <c r="P84" s="3" t="str">
        <f t="shared" si="25"/>
        <v>_Buen día Zorzenon Maria Fabiana! Le paso el saldo pendiente:_</v>
      </c>
      <c r="Q84" s="3" t="str">
        <f t="shared" si="26"/>
        <v>*DETALLE DE CUENTA:*
0 bidones de 12l
0 bidones de 20l
0 sodas
0 jugo
0 envase
0 extra
*TOTAL:*$0,00
*SALDO ANTERIOR:*$0,00
*MONTO TOTAL ADEUDADO:*$0,00</v>
      </c>
      <c r="R84" s="3" t="str">
        <f t="shared" si="22"/>
        <v>_Buen día Zorzenon Maria Fabiana! Le paso el saldo pendiente:_
*DETALLE DE CUENTA:*
0 bidones de 12l
0 bidones de 20l
0 sodas
0 jugo
0 envase
0 extra
*TOTAL:*$0,00
*SALDO ANTERIOR:*$0,00
*MONTO TOTAL ADEUDADO:*$0,00</v>
      </c>
      <c r="T84" s="3" t="str">
        <f t="shared" si="29"/>
        <v>_Buen día Zorzenon Maria Fabiana_</v>
      </c>
      <c r="U84" s="3" t="s">
        <v>54</v>
      </c>
      <c r="V84" s="3" t="str">
        <f t="shared" ref="V84:V96" si="31">CONCATENATE(T84,U84)</f>
        <v>_Buen día Zorzenon Maria Fabiana_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85" spans="1:22" s="3" customFormat="1" x14ac:dyDescent="0.35">
      <c r="A85" s="16"/>
      <c r="B85" s="2">
        <v>4</v>
      </c>
      <c r="C85" s="2" t="s">
        <v>83</v>
      </c>
      <c r="D85" s="2">
        <v>3434731338</v>
      </c>
      <c r="E85" s="2" t="str">
        <f t="shared" si="12"/>
        <v>5493434731338</v>
      </c>
      <c r="F85" s="1">
        <v>0</v>
      </c>
      <c r="G85" s="6">
        <f t="shared" si="21"/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1">
        <v>0</v>
      </c>
      <c r="N85" s="1">
        <f t="shared" si="23"/>
        <v>0</v>
      </c>
      <c r="O85" s="1">
        <f t="shared" si="24"/>
        <v>0</v>
      </c>
      <c r="P85" s="3" t="str">
        <f t="shared" si="25"/>
        <v>_Buen día Kruger norma! Le paso el saldo pendiente:_</v>
      </c>
      <c r="Q85" s="3" t="str">
        <f t="shared" si="26"/>
        <v>*DETALLE DE CUENTA:*
0 bidones de 12l
0 bidones de 20l
0 sodas
0 jugo
0 envase
0 extra
*TOTAL:*$0,00
*SALDO ANTERIOR:*$0,00
*MONTO TOTAL ADEUDADO:*$0,00</v>
      </c>
      <c r="R85" s="3" t="str">
        <f t="shared" si="22"/>
        <v>_Buen día Kruger norma! Le paso el saldo pendiente:_
*DETALLE DE CUENTA:*
0 bidones de 12l
0 bidones de 20l
0 sodas
0 jugo
0 envase
0 extra
*TOTAL:*$0,00
*SALDO ANTERIOR:*$0,00
*MONTO TOTAL ADEUDADO:*$0,00</v>
      </c>
      <c r="T85" s="3" t="str">
        <f t="shared" si="29"/>
        <v>_Buen día Kruger norma_</v>
      </c>
      <c r="U85" s="3" t="s">
        <v>54</v>
      </c>
      <c r="V85" s="3" t="str">
        <f t="shared" si="31"/>
        <v>_Buen día Kruger norma_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86" spans="1:22" s="3" customFormat="1" x14ac:dyDescent="0.35">
      <c r="A86" s="16"/>
      <c r="B86" s="2">
        <v>5</v>
      </c>
      <c r="C86" s="2" t="s">
        <v>132</v>
      </c>
      <c r="D86" s="2">
        <v>3434051102</v>
      </c>
      <c r="E86" s="2" t="str">
        <f t="shared" si="12"/>
        <v>5493434051102</v>
      </c>
      <c r="F86" s="1">
        <v>0</v>
      </c>
      <c r="G86" s="6">
        <f t="shared" si="21"/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1">
        <v>0</v>
      </c>
      <c r="N86" s="1">
        <f t="shared" si="23"/>
        <v>0</v>
      </c>
      <c r="O86" s="1">
        <f t="shared" si="24"/>
        <v>0</v>
      </c>
      <c r="P86" s="3" t="str">
        <f t="shared" si="25"/>
        <v>_Buen día Estela Tomasini! Le paso el saldo pendiente:_</v>
      </c>
      <c r="Q86" s="3" t="str">
        <f t="shared" si="26"/>
        <v>*DETALLE DE CUENTA:*
0 bidones de 12l
0 bidones de 20l
0 sodas
0 jugo
0 envase
0 extra
*TOTAL:*$0,00
*SALDO ANTERIOR:*$0,00
*MONTO TOTAL ADEUDADO:*$0,00</v>
      </c>
      <c r="R86" s="3" t="str">
        <f t="shared" si="22"/>
        <v>_Buen día Estela Tomasini! Le paso el saldo pendiente:_
*DETALLE DE CUENTA:*
0 bidones de 12l
0 bidones de 20l
0 sodas
0 jugo
0 envase
0 extra
*TOTAL:*$0,00
*SALDO ANTERIOR:*$0,00
*MONTO TOTAL ADEUDADO:*$0,00</v>
      </c>
      <c r="T86" s="3" t="str">
        <f t="shared" si="29"/>
        <v>_Buen día Estela Tomasini_</v>
      </c>
    </row>
    <row r="87" spans="1:22" s="3" customFormat="1" x14ac:dyDescent="0.35">
      <c r="A87" s="16"/>
      <c r="B87" s="2">
        <v>6</v>
      </c>
      <c r="C87" s="2" t="s">
        <v>84</v>
      </c>
      <c r="D87" s="2">
        <v>3434666349</v>
      </c>
      <c r="E87" s="2" t="str">
        <f t="shared" si="12"/>
        <v>5493434666349</v>
      </c>
      <c r="F87" s="1">
        <v>0</v>
      </c>
      <c r="G87" s="6">
        <f t="shared" si="21"/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1">
        <v>0</v>
      </c>
      <c r="N87" s="1">
        <f t="shared" si="23"/>
        <v>0</v>
      </c>
      <c r="O87" s="1">
        <f t="shared" si="24"/>
        <v>0</v>
      </c>
      <c r="P87" s="3" t="str">
        <f t="shared" si="25"/>
        <v>_Buen día Adriana Saiz! Le paso el saldo pendiente:_</v>
      </c>
      <c r="Q87" s="3" t="str">
        <f t="shared" si="26"/>
        <v>*DETALLE DE CUENTA:*
0 bidones de 12l
0 bidones de 20l
0 sodas
0 jugo
0 envase
0 extra
*TOTAL:*$0,00
*SALDO ANTERIOR:*$0,00
*MONTO TOTAL ADEUDADO:*$0,00</v>
      </c>
      <c r="R87" s="3" t="str">
        <f t="shared" si="22"/>
        <v>_Buen día Adriana Saiz! Le paso el saldo pendiente:_
*DETALLE DE CUENTA:*
0 bidones de 12l
0 bidones de 20l
0 sodas
0 jugo
0 envase
0 extra
*TOTAL:*$0,00
*SALDO ANTERIOR:*$0,00
*MONTO TOTAL ADEUDADO:*$0,00</v>
      </c>
      <c r="T87" s="3" t="str">
        <f t="shared" si="29"/>
        <v>_Buen día Adriana Saiz_</v>
      </c>
      <c r="U87" s="3" t="s">
        <v>54</v>
      </c>
      <c r="V87" s="3" t="str">
        <f t="shared" si="31"/>
        <v>_Buen día Adriana Saiz_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88" spans="1:22" s="3" customFormat="1" x14ac:dyDescent="0.35">
      <c r="A88" s="16"/>
      <c r="B88" s="2">
        <v>7</v>
      </c>
      <c r="C88" s="2" t="s">
        <v>85</v>
      </c>
      <c r="D88" s="2">
        <v>3434594615</v>
      </c>
      <c r="E88" s="2" t="str">
        <f t="shared" si="12"/>
        <v>5493434594615</v>
      </c>
      <c r="F88" s="1">
        <v>0</v>
      </c>
      <c r="G88" s="6">
        <f t="shared" si="21"/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1">
        <v>0</v>
      </c>
      <c r="N88" s="1">
        <f t="shared" si="23"/>
        <v>0</v>
      </c>
      <c r="O88" s="1">
        <f t="shared" si="24"/>
        <v>0</v>
      </c>
      <c r="P88" s="3" t="str">
        <f t="shared" si="25"/>
        <v>_Buen día Daniela Saiz! Le paso el saldo pendiente:_</v>
      </c>
      <c r="Q88" s="3" t="str">
        <f t="shared" si="26"/>
        <v>*DETALLE DE CUENTA:*
0 bidones de 12l
0 bidones de 20l
0 sodas
0 jugo
0 envase
0 extra
*TOTAL:*$0,00
*SALDO ANTERIOR:*$0,00
*MONTO TOTAL ADEUDADO:*$0,00</v>
      </c>
      <c r="R88" s="3" t="str">
        <f t="shared" si="22"/>
        <v>_Buen día Daniela Saiz! Le paso el saldo pendiente:_
*DETALLE DE CUENTA:*
0 bidones de 12l
0 bidones de 20l
0 sodas
0 jugo
0 envase
0 extra
*TOTAL:*$0,00
*SALDO ANTERIOR:*$0,00
*MONTO TOTAL ADEUDADO:*$0,00</v>
      </c>
      <c r="T88" s="3" t="str">
        <f t="shared" si="29"/>
        <v>_Buen día Daniela Saiz_</v>
      </c>
      <c r="U88" s="3" t="s">
        <v>54</v>
      </c>
      <c r="V88" s="3" t="str">
        <f t="shared" si="31"/>
        <v>_Buen día Daniela Saiz_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89" spans="1:22" s="3" customFormat="1" x14ac:dyDescent="0.35">
      <c r="A89" s="16"/>
      <c r="B89" s="2">
        <v>8</v>
      </c>
      <c r="C89" s="2" t="s">
        <v>86</v>
      </c>
      <c r="D89" s="2">
        <v>3435406151</v>
      </c>
      <c r="E89" s="2" t="str">
        <f t="shared" si="12"/>
        <v>5493435406151</v>
      </c>
      <c r="F89" s="1">
        <v>0</v>
      </c>
      <c r="G89" s="6">
        <f t="shared" si="21"/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1">
        <v>0</v>
      </c>
      <c r="N89" s="1">
        <f t="shared" si="23"/>
        <v>0</v>
      </c>
      <c r="O89" s="1">
        <f t="shared" si="24"/>
        <v>0</v>
      </c>
      <c r="P89" s="3" t="str">
        <f t="shared" si="25"/>
        <v>_Buen día Gómez Patricia Guadalupe! Le paso el saldo pendiente:_</v>
      </c>
      <c r="Q89" s="3" t="str">
        <f t="shared" si="26"/>
        <v>*DETALLE DE CUENTA:*
0 bidones de 12l
0 bidones de 20l
0 sodas
0 jugo
0 envase
0 extra
*TOTAL:*$0,00
*SALDO ANTERIOR:*$0,00
*MONTO TOTAL ADEUDADO:*$0,00</v>
      </c>
      <c r="R89" s="3" t="str">
        <f t="shared" si="22"/>
        <v>_Buen día Gómez Patricia Guadalupe! Le paso el saldo pendiente:_
*DETALLE DE CUENTA:*
0 bidones de 12l
0 bidones de 20l
0 sodas
0 jugo
0 envase
0 extra
*TOTAL:*$0,00
*SALDO ANTERIOR:*$0,00
*MONTO TOTAL ADEUDADO:*$0,00</v>
      </c>
      <c r="T89" s="3" t="str">
        <f t="shared" si="29"/>
        <v>_Buen día Gómez Patricia Guadalupe_</v>
      </c>
      <c r="U89" s="3" t="s">
        <v>54</v>
      </c>
      <c r="V89" s="3" t="str">
        <f t="shared" si="31"/>
        <v>_Buen día Gómez Patricia Guadalupe_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90" spans="1:22" s="3" customFormat="1" x14ac:dyDescent="0.35">
      <c r="A90" s="16"/>
      <c r="B90" s="2">
        <v>9</v>
      </c>
      <c r="C90" s="2" t="s">
        <v>87</v>
      </c>
      <c r="D90" s="2">
        <v>3434473714</v>
      </c>
      <c r="E90" s="2" t="str">
        <f t="shared" ref="E90:E124" si="32">CONCATENATE("549",D90)</f>
        <v>5493434473714</v>
      </c>
      <c r="F90" s="1">
        <v>0</v>
      </c>
      <c r="G90" s="6">
        <f t="shared" si="21"/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1">
        <v>0</v>
      </c>
      <c r="N90" s="1">
        <f t="shared" si="23"/>
        <v>0</v>
      </c>
      <c r="O90" s="1">
        <f t="shared" si="24"/>
        <v>0</v>
      </c>
      <c r="P90" s="3" t="str">
        <f t="shared" si="25"/>
        <v>_Buen día schmit! Le paso el saldo pendiente:_</v>
      </c>
      <c r="Q90" s="3" t="str">
        <f t="shared" si="26"/>
        <v>*DETALLE DE CUENTA:*
0 bidones de 12l
0 bidones de 20l
0 sodas
0 jugo
0 envase
0 extra
*TOTAL:*$0,00
*SALDO ANTERIOR:*$0,00
*MONTO TOTAL ADEUDADO:*$0,00</v>
      </c>
      <c r="R90" s="3" t="str">
        <f t="shared" si="22"/>
        <v>_Buen día schmit! Le paso el saldo pendiente:_
*DETALLE DE CUENTA:*
0 bidones de 12l
0 bidones de 20l
0 sodas
0 jugo
0 envase
0 extra
*TOTAL:*$0,00
*SALDO ANTERIOR:*$0,00
*MONTO TOTAL ADEUDADO:*$0,00</v>
      </c>
      <c r="T90" s="3" t="str">
        <f t="shared" si="29"/>
        <v>_Buen día schmit_</v>
      </c>
      <c r="U90" s="3" t="s">
        <v>54</v>
      </c>
      <c r="V90" s="3" t="str">
        <f t="shared" si="31"/>
        <v>_Buen día schmit_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91" spans="1:22" s="3" customFormat="1" x14ac:dyDescent="0.35">
      <c r="A91" s="16"/>
      <c r="B91" s="2">
        <v>10</v>
      </c>
      <c r="C91" s="2" t="s">
        <v>133</v>
      </c>
      <c r="D91" s="8">
        <v>3434061458</v>
      </c>
      <c r="E91" s="2" t="str">
        <f t="shared" si="32"/>
        <v>5493434061458</v>
      </c>
      <c r="F91" s="1">
        <v>0</v>
      </c>
      <c r="G91" s="6">
        <f t="shared" si="21"/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1">
        <v>0</v>
      </c>
      <c r="N91" s="1">
        <f t="shared" si="23"/>
        <v>0</v>
      </c>
      <c r="O91" s="1">
        <f t="shared" si="24"/>
        <v>0</v>
      </c>
      <c r="P91" s="3" t="str">
        <f t="shared" si="25"/>
        <v>_Buen día Juan Carlos! Le paso el saldo pendiente:_</v>
      </c>
      <c r="Q91" s="3" t="str">
        <f t="shared" si="26"/>
        <v>*DETALLE DE CUENTA:*
0 bidones de 12l
0 bidones de 20l
0 sodas
0 jugo
0 envase
0 extra
*TOTAL:*$0,00
*SALDO ANTERIOR:*$0,00
*MONTO TOTAL ADEUDADO:*$0,00</v>
      </c>
      <c r="R91" s="3" t="str">
        <f t="shared" si="22"/>
        <v>_Buen día Juan Carlos! Le paso el saldo pendiente:_
*DETALLE DE CUENTA:*
0 bidones de 12l
0 bidones de 20l
0 sodas
0 jugo
0 envase
0 extra
*TOTAL:*$0,00
*SALDO ANTERIOR:*$0,00
*MONTO TOTAL ADEUDADO:*$0,00</v>
      </c>
      <c r="T91" s="3" t="str">
        <f t="shared" si="29"/>
        <v>_Buen día Juan Carlos_</v>
      </c>
      <c r="U91" s="3" t="s">
        <v>54</v>
      </c>
      <c r="V91" s="3" t="str">
        <f t="shared" si="31"/>
        <v>_Buen día Juan Carlos_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92" spans="1:22" s="3" customFormat="1" x14ac:dyDescent="0.35">
      <c r="A92" s="16"/>
      <c r="B92" s="2">
        <v>11</v>
      </c>
      <c r="C92" s="2" t="s">
        <v>88</v>
      </c>
      <c r="D92" s="2">
        <v>3434730970</v>
      </c>
      <c r="E92" s="2" t="str">
        <f t="shared" si="32"/>
        <v>5493434730970</v>
      </c>
      <c r="F92" s="1">
        <v>0</v>
      </c>
      <c r="G92" s="6">
        <f t="shared" si="21"/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1">
        <v>0</v>
      </c>
      <c r="N92" s="1">
        <f t="shared" si="23"/>
        <v>0</v>
      </c>
      <c r="O92" s="1">
        <f t="shared" si="24"/>
        <v>0</v>
      </c>
      <c r="P92" s="3" t="str">
        <f t="shared" si="25"/>
        <v>_Buen día Florentino Ortega! Le paso el saldo pendiente:_</v>
      </c>
      <c r="Q92" s="3" t="str">
        <f t="shared" si="26"/>
        <v>*DETALLE DE CUENTA:*
0 bidones de 12l
0 bidones de 20l
0 sodas
0 jugo
0 envase
0 extra
*TOTAL:*$0,00
*SALDO ANTERIOR:*$0,00
*MONTO TOTAL ADEUDADO:*$0,00</v>
      </c>
      <c r="R92" s="3" t="str">
        <f t="shared" si="22"/>
        <v>_Buen día Florentino Ortega! Le paso el saldo pendiente:_
*DETALLE DE CUENTA:*
0 bidones de 12l
0 bidones de 20l
0 sodas
0 jugo
0 envase
0 extra
*TOTAL:*$0,00
*SALDO ANTERIOR:*$0,00
*MONTO TOTAL ADEUDADO:*$0,00</v>
      </c>
      <c r="T92" s="3" t="str">
        <f t="shared" si="29"/>
        <v>_Buen día Florentino Ortega_</v>
      </c>
      <c r="U92" s="3" t="s">
        <v>54</v>
      </c>
      <c r="V92" s="3" t="str">
        <f t="shared" si="31"/>
        <v>_Buen día Florentino Ortega_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93" spans="1:22" s="3" customFormat="1" x14ac:dyDescent="0.35">
      <c r="A93" s="16"/>
      <c r="B93" s="2">
        <v>12</v>
      </c>
      <c r="C93" s="2" t="s">
        <v>89</v>
      </c>
      <c r="D93" s="2">
        <v>3434662720</v>
      </c>
      <c r="E93" s="2" t="str">
        <f t="shared" si="32"/>
        <v>5493434662720</v>
      </c>
      <c r="F93" s="1">
        <v>0</v>
      </c>
      <c r="G93" s="6">
        <f t="shared" si="21"/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1">
        <v>0</v>
      </c>
      <c r="N93" s="1">
        <f t="shared" si="23"/>
        <v>0</v>
      </c>
      <c r="O93" s="1">
        <f t="shared" si="24"/>
        <v>0</v>
      </c>
      <c r="P93" s="3" t="str">
        <f t="shared" si="25"/>
        <v>_Buen día Estela Bastidas! Le paso el saldo pendiente:_</v>
      </c>
      <c r="Q93" s="3" t="str">
        <f t="shared" si="26"/>
        <v>*DETALLE DE CUENTA:*
0 bidones de 12l
0 bidones de 20l
0 sodas
0 jugo
0 envase
0 extra
*TOTAL:*$0,00
*SALDO ANTERIOR:*$0,00
*MONTO TOTAL ADEUDADO:*$0,00</v>
      </c>
      <c r="R93" s="3" t="str">
        <f t="shared" si="22"/>
        <v>_Buen día Estela Bastidas! Le paso el saldo pendiente:_
*DETALLE DE CUENTA:*
0 bidones de 12l
0 bidones de 20l
0 sodas
0 jugo
0 envase
0 extra
*TOTAL:*$0,00
*SALDO ANTERIOR:*$0,00
*MONTO TOTAL ADEUDADO:*$0,00</v>
      </c>
      <c r="T93" s="3" t="str">
        <f t="shared" si="29"/>
        <v>_Buen día Estela Bastidas_</v>
      </c>
      <c r="U93" s="3" t="s">
        <v>54</v>
      </c>
      <c r="V93" s="3" t="str">
        <f t="shared" si="31"/>
        <v>_Buen día Estela Bastidas_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94" spans="1:22" s="3" customFormat="1" x14ac:dyDescent="0.35">
      <c r="A94" s="16"/>
      <c r="B94" s="2">
        <v>13</v>
      </c>
      <c r="C94" s="2" t="s">
        <v>90</v>
      </c>
      <c r="D94" s="2">
        <v>3436112713</v>
      </c>
      <c r="E94" s="2" t="str">
        <f t="shared" si="32"/>
        <v>5493436112713</v>
      </c>
      <c r="F94" s="1">
        <v>0</v>
      </c>
      <c r="G94" s="6">
        <f t="shared" si="21"/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1">
        <v>0</v>
      </c>
      <c r="N94" s="1">
        <f t="shared" si="23"/>
        <v>0</v>
      </c>
      <c r="O94" s="1">
        <f t="shared" si="24"/>
        <v>0</v>
      </c>
      <c r="P94" s="3" t="str">
        <f t="shared" si="25"/>
        <v>_Buen día Silvia Alvarez! Le paso el saldo pendiente:_</v>
      </c>
      <c r="Q94" s="3" t="str">
        <f t="shared" si="26"/>
        <v>*DETALLE DE CUENTA:*
0 bidones de 12l
0 bidones de 20l
0 sodas
0 jugo
0 envase
0 extra
*TOTAL:*$0,00
*SALDO ANTERIOR:*$0,00
*MONTO TOTAL ADEUDADO:*$0,00</v>
      </c>
      <c r="R94" s="3" t="str">
        <f t="shared" si="22"/>
        <v>_Buen día Silvia Alvarez! Le paso el saldo pendiente:_
*DETALLE DE CUENTA:*
0 bidones de 12l
0 bidones de 20l
0 sodas
0 jugo
0 envase
0 extra
*TOTAL:*$0,00
*SALDO ANTERIOR:*$0,00
*MONTO TOTAL ADEUDADO:*$0,00</v>
      </c>
      <c r="T94" s="3" t="str">
        <f t="shared" si="29"/>
        <v>_Buen día Silvia Alvarez_</v>
      </c>
      <c r="U94" s="3" t="s">
        <v>54</v>
      </c>
      <c r="V94" s="3" t="str">
        <f t="shared" si="31"/>
        <v>_Buen día Silvia Alvarez_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95" spans="1:22" s="3" customFormat="1" x14ac:dyDescent="0.35">
      <c r="A95" s="16"/>
      <c r="B95" s="2">
        <v>14</v>
      </c>
      <c r="C95" s="2" t="s">
        <v>91</v>
      </c>
      <c r="D95" s="2">
        <v>3434569634</v>
      </c>
      <c r="E95" s="2" t="str">
        <f t="shared" si="32"/>
        <v>5493434569634</v>
      </c>
      <c r="F95" s="1">
        <v>0</v>
      </c>
      <c r="G95" s="6">
        <f t="shared" si="21"/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1">
        <v>0</v>
      </c>
      <c r="N95" s="1">
        <f t="shared" si="23"/>
        <v>0</v>
      </c>
      <c r="O95" s="1">
        <f t="shared" si="24"/>
        <v>0</v>
      </c>
      <c r="P95" s="3" t="str">
        <f t="shared" si="25"/>
        <v>_Buen día Maria Evangelina Trovatto! Le paso el saldo pendiente:_</v>
      </c>
      <c r="Q95" s="3" t="str">
        <f t="shared" si="26"/>
        <v>*DETALLE DE CUENTA:*
0 bidones de 12l
0 bidones de 20l
0 sodas
0 jugo
0 envase
0 extra
*TOTAL:*$0,00
*SALDO ANTERIOR:*$0,00
*MONTO TOTAL ADEUDADO:*$0,00</v>
      </c>
      <c r="R95" s="3" t="str">
        <f t="shared" si="22"/>
        <v>_Buen día Maria Evangelina Trovatto! Le paso el saldo pendiente:_
*DETALLE DE CUENTA:*
0 bidones de 12l
0 bidones de 20l
0 sodas
0 jugo
0 envase
0 extra
*TOTAL:*$0,00
*SALDO ANTERIOR:*$0,00
*MONTO TOTAL ADEUDADO:*$0,00</v>
      </c>
      <c r="T95" s="3" t="str">
        <f t="shared" si="29"/>
        <v>_Buen día Maria Evangelina Trovatto_</v>
      </c>
      <c r="U95" s="3" t="s">
        <v>54</v>
      </c>
      <c r="V95" s="3" t="str">
        <f t="shared" si="31"/>
        <v>_Buen día Maria Evangelina Trovatto_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96" spans="1:22" s="3" customFormat="1" x14ac:dyDescent="0.35">
      <c r="A96" s="16"/>
      <c r="B96" s="2">
        <v>15</v>
      </c>
      <c r="C96" s="2" t="s">
        <v>92</v>
      </c>
      <c r="D96" s="2">
        <v>3435001179</v>
      </c>
      <c r="E96" s="2" t="str">
        <f t="shared" si="32"/>
        <v>5493435001179</v>
      </c>
      <c r="F96" s="1">
        <v>0</v>
      </c>
      <c r="G96" s="6">
        <f t="shared" si="21"/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1">
        <v>0</v>
      </c>
      <c r="N96" s="1">
        <f t="shared" si="23"/>
        <v>0</v>
      </c>
      <c r="O96" s="1">
        <f t="shared" si="24"/>
        <v>0</v>
      </c>
      <c r="P96" s="3" t="str">
        <f t="shared" si="25"/>
        <v>_Buen día Norma Crovetto! Le paso el saldo pendiente:_</v>
      </c>
      <c r="Q96" s="3" t="str">
        <f t="shared" si="26"/>
        <v>*DETALLE DE CUENTA:*
0 bidones de 12l
0 bidones de 20l
0 sodas
0 jugo
0 envase
0 extra
*TOTAL:*$0,00
*SALDO ANTERIOR:*$0,00
*MONTO TOTAL ADEUDADO:*$0,00</v>
      </c>
      <c r="R96" s="3" t="str">
        <f t="shared" si="22"/>
        <v>_Buen día Norma Crovetto! Le paso el saldo pendiente:_
*DETALLE DE CUENTA:*
0 bidones de 12l
0 bidones de 20l
0 sodas
0 jugo
0 envase
0 extra
*TOTAL:*$0,00
*SALDO ANTERIOR:*$0,00
*MONTO TOTAL ADEUDADO:*$0,00</v>
      </c>
      <c r="T96" s="3" t="str">
        <f t="shared" si="29"/>
        <v>_Buen día Norma Crovetto_</v>
      </c>
      <c r="U96" s="3" t="s">
        <v>54</v>
      </c>
      <c r="V96" s="3" t="str">
        <f t="shared" si="31"/>
        <v>_Buen día Norma Crovetto_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97" spans="1:22" s="3" customFormat="1" x14ac:dyDescent="0.35">
      <c r="A97" s="16"/>
      <c r="B97" s="2">
        <v>16</v>
      </c>
      <c r="C97" s="2" t="s">
        <v>120</v>
      </c>
      <c r="D97" s="2">
        <v>3434053039</v>
      </c>
      <c r="E97" s="2" t="str">
        <f t="shared" si="32"/>
        <v>5493434053039</v>
      </c>
      <c r="F97" s="1">
        <v>0</v>
      </c>
      <c r="G97" s="6">
        <f t="shared" si="21"/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1">
        <v>0</v>
      </c>
      <c r="N97" s="1">
        <f t="shared" si="23"/>
        <v>0</v>
      </c>
      <c r="O97" s="1">
        <f t="shared" si="24"/>
        <v>0</v>
      </c>
      <c r="P97" s="3" t="str">
        <f t="shared" si="25"/>
        <v>_Buen día Hector Eduardo Godoy! Le paso el saldo pendiente:_</v>
      </c>
      <c r="Q97" s="3" t="str">
        <f t="shared" si="26"/>
        <v>*DETALLE DE CUENTA:*
0 bidones de 12l
0 bidones de 20l
0 sodas
0 jugo
0 envase
0 extra
*TOTAL:*$0,00
*SALDO ANTERIOR:*$0,00
*MONTO TOTAL ADEUDADO:*$0,00</v>
      </c>
      <c r="R97" s="3" t="str">
        <f t="shared" si="22"/>
        <v>_Buen día Hector Eduardo Godoy! Le paso el saldo pendiente:_
*DETALLE DE CUENTA:*
0 bidones de 12l
0 bidones de 20l
0 sodas
0 jugo
0 envase
0 extra
*TOTAL:*$0,00
*SALDO ANTERIOR:*$0,00
*MONTO TOTAL ADEUDADO:*$0,00</v>
      </c>
      <c r="T97" s="3" t="str">
        <f t="shared" si="29"/>
        <v>_Buen día Hector Eduardo Godoy_</v>
      </c>
    </row>
    <row r="98" spans="1:22" x14ac:dyDescent="0.35">
      <c r="A98" s="16" t="s">
        <v>145</v>
      </c>
      <c r="B98" s="2">
        <v>1</v>
      </c>
      <c r="C98" s="2" t="s">
        <v>134</v>
      </c>
      <c r="D98" s="2">
        <v>3434665990</v>
      </c>
      <c r="E98" s="2" t="str">
        <f t="shared" si="32"/>
        <v>5493434665990</v>
      </c>
      <c r="F98" s="1">
        <v>0</v>
      </c>
      <c r="G98" s="6">
        <f t="shared" si="21"/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1">
        <v>0</v>
      </c>
      <c r="N98" s="1">
        <f t="shared" si="23"/>
        <v>0</v>
      </c>
      <c r="O98" s="1">
        <f t="shared" si="24"/>
        <v>0</v>
      </c>
      <c r="P98" s="3" t="str">
        <f t="shared" si="25"/>
        <v>_Buen día García María Cristina! Le paso el saldo pendiente:_</v>
      </c>
      <c r="Q98" s="3" t="str">
        <f t="shared" si="26"/>
        <v>*DETALLE DE CUENTA:*
0 bidones de 12l
0 bidones de 20l
0 sodas
0 jugo
0 envase
0 extra
*TOTAL:*$0,00
*SALDO ANTERIOR:*$0,00
*MONTO TOTAL ADEUDADO:*$0,00</v>
      </c>
      <c r="R98" s="3" t="str">
        <f t="shared" si="22"/>
        <v>_Buen día García María Cristina! Le paso el saldo pendiente:_
*DETALLE DE CUENTA:*
0 bidones de 12l
0 bidones de 20l
0 sodas
0 jugo
0 envase
0 extra
*TOTAL:*$0,00
*SALDO ANTERIOR:*$0,00
*MONTO TOTAL ADEUDADO:*$0,00</v>
      </c>
      <c r="T98" s="3" t="str">
        <f t="shared" si="29"/>
        <v>_Buen día García María Cristina_</v>
      </c>
    </row>
    <row r="99" spans="1:22" s="3" customFormat="1" x14ac:dyDescent="0.35">
      <c r="A99" s="16"/>
      <c r="B99" s="2">
        <v>2</v>
      </c>
      <c r="C99" s="2" t="s">
        <v>117</v>
      </c>
      <c r="D99" s="2">
        <v>3435364820</v>
      </c>
      <c r="E99" s="2" t="str">
        <f t="shared" si="32"/>
        <v>5493435364820</v>
      </c>
      <c r="F99" s="1">
        <v>0</v>
      </c>
      <c r="G99" s="6">
        <f t="shared" si="21"/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1">
        <v>0</v>
      </c>
      <c r="N99" s="1">
        <f t="shared" si="23"/>
        <v>0</v>
      </c>
      <c r="O99" s="1">
        <f t="shared" si="24"/>
        <v>0</v>
      </c>
      <c r="P99" s="3" t="str">
        <f t="shared" si="25"/>
        <v>_Buen día Carla Aparicio! Le paso el saldo pendiente:_</v>
      </c>
      <c r="Q99" s="3" t="str">
        <f t="shared" si="26"/>
        <v>*DETALLE DE CUENTA:*
0 bidones de 12l
0 bidones de 20l
0 sodas
0 jugo
0 envase
0 extra
*TOTAL:*$0,00
*SALDO ANTERIOR:*$0,00
*MONTO TOTAL ADEUDADO:*$0,00</v>
      </c>
      <c r="R99" s="3" t="str">
        <f t="shared" si="22"/>
        <v>_Buen día Carla Aparicio! Le paso el saldo pendiente:_
*DETALLE DE CUENTA:*
0 bidones de 12l
0 bidones de 20l
0 sodas
0 jugo
0 envase
0 extra
*TOTAL:*$0,00
*SALDO ANTERIOR:*$0,00
*MONTO TOTAL ADEUDADO:*$0,00</v>
      </c>
      <c r="S99" s="3" t="s">
        <v>54</v>
      </c>
      <c r="T99" s="3" t="str">
        <f t="shared" ref="T99" si="33">CONCATENATE(R99,S99)</f>
        <v>_Buen día Carla Aparicio! Le paso el saldo pendiente:_
*DETALLE DE CUENTA:*
0 bidones de 12l
0 bidones de 20l
0 sodas
0 jugo
0 envase
0 extra
*TOTAL:*$0,00
*SALDO ANTERIOR:*$0,00
*MONTO TOTAL ADEUDADO:*$0,00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00" spans="1:22" s="3" customFormat="1" ht="14.5" customHeight="1" x14ac:dyDescent="0.35">
      <c r="A100" s="16"/>
      <c r="B100" s="2">
        <v>3</v>
      </c>
      <c r="C100" s="2" t="s">
        <v>93</v>
      </c>
      <c r="D100" s="2">
        <v>3434580394</v>
      </c>
      <c r="E100" s="2" t="str">
        <f t="shared" si="32"/>
        <v>5493434580394</v>
      </c>
      <c r="F100" s="1">
        <v>0</v>
      </c>
      <c r="G100" s="6">
        <f t="shared" si="21"/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1">
        <v>0</v>
      </c>
      <c r="N100" s="1">
        <f t="shared" si="23"/>
        <v>0</v>
      </c>
      <c r="O100" s="1">
        <f t="shared" si="24"/>
        <v>0</v>
      </c>
      <c r="P100" s="3" t="str">
        <f t="shared" si="25"/>
        <v>_Buen día Carlos Alberto sotier! Le paso el saldo pendiente:_</v>
      </c>
      <c r="Q100" s="3" t="str">
        <f t="shared" si="26"/>
        <v>*DETALLE DE CUENTA:*
0 bidones de 12l
0 bidones de 20l
0 sodas
0 jugo
0 envase
0 extra
*TOTAL:*$0,00
*SALDO ANTERIOR:*$0,00
*MONTO TOTAL ADEUDADO:*$0,00</v>
      </c>
      <c r="R100" s="3" t="str">
        <f t="shared" si="22"/>
        <v>_Buen día Carlos Alberto sotier! Le paso el saldo pendiente:_
*DETALLE DE CUENTA:*
0 bidones de 12l
0 bidones de 20l
0 sodas
0 jugo
0 envase
0 extra
*TOTAL:*$0,00
*SALDO ANTERIOR:*$0,00
*MONTO TOTAL ADEUDADO:*$0,00</v>
      </c>
      <c r="T100" s="3" t="str">
        <f t="shared" ref="T100:T108" si="34">CONCATENATE("_Buen día ",C100,"_")</f>
        <v>_Buen día Carlos Alberto sotier_</v>
      </c>
      <c r="U100" s="3" t="s">
        <v>54</v>
      </c>
      <c r="V100" s="3" t="str">
        <f t="shared" ref="V100:V104" si="35">CONCATENATE(T100,U100)</f>
        <v>_Buen día Carlos Alberto sotier_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01" spans="1:22" s="3" customFormat="1" ht="14.5" customHeight="1" x14ac:dyDescent="0.35">
      <c r="A101" s="16"/>
      <c r="B101" s="2">
        <v>4</v>
      </c>
      <c r="C101" s="2" t="s">
        <v>135</v>
      </c>
      <c r="D101" s="2">
        <v>3434489620</v>
      </c>
      <c r="E101" s="2" t="str">
        <f t="shared" si="32"/>
        <v>5493434489620</v>
      </c>
      <c r="F101" s="1">
        <v>0</v>
      </c>
      <c r="G101" s="6">
        <f t="shared" si="21"/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1">
        <v>0</v>
      </c>
      <c r="N101" s="1">
        <f t="shared" si="23"/>
        <v>0</v>
      </c>
      <c r="O101" s="1">
        <f t="shared" si="24"/>
        <v>0</v>
      </c>
      <c r="P101" s="3" t="str">
        <f t="shared" si="25"/>
        <v>_Buen día Molina Daniel! Le paso el saldo pendiente:_</v>
      </c>
      <c r="Q101" s="3" t="str">
        <f t="shared" si="26"/>
        <v>*DETALLE DE CUENTA:*
0 bidones de 12l
0 bidones de 20l
0 sodas
0 jugo
0 envase
0 extra
*TOTAL:*$0,00
*SALDO ANTERIOR:*$0,00
*MONTO TOTAL ADEUDADO:*$0,00</v>
      </c>
      <c r="R101" s="3" t="str">
        <f t="shared" si="22"/>
        <v>_Buen día Molina Daniel! Le paso el saldo pendiente:_
*DETALLE DE CUENTA:*
0 bidones de 12l
0 bidones de 20l
0 sodas
0 jugo
0 envase
0 extra
*TOTAL:*$0,00
*SALDO ANTERIOR:*$0,00
*MONTO TOTAL ADEUDADO:*$0,00</v>
      </c>
      <c r="T101" s="3" t="str">
        <f t="shared" si="34"/>
        <v>_Buen día Molina Daniel_</v>
      </c>
    </row>
    <row r="102" spans="1:22" s="3" customFormat="1" x14ac:dyDescent="0.35">
      <c r="A102" s="16"/>
      <c r="B102" s="2">
        <v>5</v>
      </c>
      <c r="C102" s="2" t="s">
        <v>95</v>
      </c>
      <c r="D102" s="2">
        <v>3433016292</v>
      </c>
      <c r="E102" s="2" t="str">
        <f t="shared" si="32"/>
        <v>5493433016292</v>
      </c>
      <c r="F102" s="1">
        <v>0</v>
      </c>
      <c r="G102" s="6">
        <f t="shared" si="21"/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1">
        <v>0</v>
      </c>
      <c r="N102" s="1">
        <f t="shared" si="23"/>
        <v>0</v>
      </c>
      <c r="O102" s="1">
        <f t="shared" si="24"/>
        <v>0</v>
      </c>
      <c r="P102" s="3" t="str">
        <f t="shared" si="25"/>
        <v>_Buen día Antonella Pfief! Le paso el saldo pendiente:_</v>
      </c>
      <c r="Q102" s="3" t="str">
        <f t="shared" si="26"/>
        <v>*DETALLE DE CUENTA:*
0 bidones de 12l
0 bidones de 20l
0 sodas
0 jugo
0 envase
0 extra
*TOTAL:*$0,00
*SALDO ANTERIOR:*$0,00
*MONTO TOTAL ADEUDADO:*$0,00</v>
      </c>
      <c r="R102" s="3" t="str">
        <f t="shared" si="22"/>
        <v>_Buen día Antonella Pfief! Le paso el saldo pendiente:_
*DETALLE DE CUENTA:*
0 bidones de 12l
0 bidones de 20l
0 sodas
0 jugo
0 envase
0 extra
*TOTAL:*$0,00
*SALDO ANTERIOR:*$0,00
*MONTO TOTAL ADEUDADO:*$0,00</v>
      </c>
      <c r="T102" s="3" t="str">
        <f t="shared" si="34"/>
        <v>_Buen día Antonella Pfief_</v>
      </c>
      <c r="U102" s="3" t="s">
        <v>54</v>
      </c>
      <c r="V102" s="3" t="str">
        <f t="shared" si="35"/>
        <v>_Buen día Antonella Pfief_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03" spans="1:22" s="3" customFormat="1" x14ac:dyDescent="0.35">
      <c r="A103" s="16"/>
      <c r="B103" s="2">
        <v>6</v>
      </c>
      <c r="C103" s="2" t="s">
        <v>96</v>
      </c>
      <c r="D103" s="2">
        <v>3435318800</v>
      </c>
      <c r="E103" s="2" t="str">
        <f t="shared" si="32"/>
        <v>5493435318800</v>
      </c>
      <c r="F103" s="1">
        <v>0</v>
      </c>
      <c r="G103" s="6">
        <f t="shared" si="21"/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1">
        <v>0</v>
      </c>
      <c r="N103" s="1">
        <f t="shared" si="23"/>
        <v>0</v>
      </c>
      <c r="O103" s="1">
        <f t="shared" si="24"/>
        <v>0</v>
      </c>
      <c r="P103" s="3" t="str">
        <f t="shared" si="25"/>
        <v>_Buen día Adriana Rosa Brahin! Le paso el saldo pendiente:_</v>
      </c>
      <c r="Q103" s="3" t="str">
        <f t="shared" si="26"/>
        <v>*DETALLE DE CUENTA:*
0 bidones de 12l
0 bidones de 20l
0 sodas
0 jugo
0 envase
0 extra
*TOTAL:*$0,00
*SALDO ANTERIOR:*$0,00
*MONTO TOTAL ADEUDADO:*$0,00</v>
      </c>
      <c r="R103" s="3" t="str">
        <f t="shared" si="22"/>
        <v>_Buen día Adriana Rosa Brahin! Le paso el saldo pendiente:_
*DETALLE DE CUENTA:*
0 bidones de 12l
0 bidones de 20l
0 sodas
0 jugo
0 envase
0 extra
*TOTAL:*$0,00
*SALDO ANTERIOR:*$0,00
*MONTO TOTAL ADEUDADO:*$0,00</v>
      </c>
      <c r="T103" s="3" t="str">
        <f t="shared" si="34"/>
        <v>_Buen día Adriana Rosa Brahin_</v>
      </c>
      <c r="U103" s="3" t="s">
        <v>54</v>
      </c>
      <c r="V103" s="3" t="str">
        <f t="shared" si="35"/>
        <v>_Buen día Adriana Rosa Brahin_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04" spans="1:22" s="3" customFormat="1" x14ac:dyDescent="0.35">
      <c r="A104" s="16"/>
      <c r="B104" s="2">
        <v>7</v>
      </c>
      <c r="C104" s="2" t="s">
        <v>111</v>
      </c>
      <c r="D104" s="2">
        <v>3434252383</v>
      </c>
      <c r="E104" s="2" t="str">
        <f t="shared" si="32"/>
        <v>5493434252383</v>
      </c>
      <c r="F104" s="1">
        <v>0</v>
      </c>
      <c r="G104" s="6">
        <f t="shared" si="21"/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1">
        <v>0</v>
      </c>
      <c r="N104" s="1">
        <f t="shared" si="23"/>
        <v>0</v>
      </c>
      <c r="O104" s="1">
        <f t="shared" si="24"/>
        <v>0</v>
      </c>
      <c r="P104" s="3" t="str">
        <f t="shared" si="25"/>
        <v>_Buen día Camila Miño! Le paso el saldo pendiente:_</v>
      </c>
      <c r="Q104" s="3" t="str">
        <f t="shared" si="26"/>
        <v>*DETALLE DE CUENTA:*
0 bidones de 12l
0 bidones de 20l
0 sodas
0 jugo
0 envase
0 extra
*TOTAL:*$0,00
*SALDO ANTERIOR:*$0,00
*MONTO TOTAL ADEUDADO:*$0,00</v>
      </c>
      <c r="R104" s="3" t="str">
        <f t="shared" si="22"/>
        <v>_Buen día Camila Miño! Le paso el saldo pendiente:_
*DETALLE DE CUENTA:*
0 bidones de 12l
0 bidones de 20l
0 sodas
0 jugo
0 envase
0 extra
*TOTAL:*$0,00
*SALDO ANTERIOR:*$0,00
*MONTO TOTAL ADEUDADO:*$0,00</v>
      </c>
      <c r="T104" s="3" t="str">
        <f t="shared" si="34"/>
        <v>_Buen día Camila Miño_</v>
      </c>
      <c r="U104" s="3" t="s">
        <v>54</v>
      </c>
      <c r="V104" s="3" t="str">
        <f t="shared" si="35"/>
        <v>_Buen día Camila Miño_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05" spans="1:22" x14ac:dyDescent="0.35">
      <c r="A105" s="16"/>
      <c r="B105" s="2">
        <v>8</v>
      </c>
      <c r="C105" s="2" t="s">
        <v>136</v>
      </c>
      <c r="D105" s="2">
        <v>3435254134</v>
      </c>
      <c r="E105" s="2" t="str">
        <f t="shared" si="32"/>
        <v>5493435254134</v>
      </c>
      <c r="F105" s="1">
        <v>0</v>
      </c>
      <c r="G105" s="6">
        <f t="shared" si="21"/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1">
        <v>0</v>
      </c>
      <c r="N105" s="1">
        <f t="shared" si="23"/>
        <v>0</v>
      </c>
      <c r="O105" s="1">
        <f t="shared" si="24"/>
        <v>0</v>
      </c>
      <c r="P105" s="3" t="str">
        <f t="shared" si="25"/>
        <v>_Buen día Montenegro Martin! Le paso el saldo pendiente:_</v>
      </c>
      <c r="Q105" s="3" t="str">
        <f t="shared" si="26"/>
        <v>*DETALLE DE CUENTA:*
0 bidones de 12l
0 bidones de 20l
0 sodas
0 jugo
0 envase
0 extra
*TOTAL:*$0,00
*SALDO ANTERIOR:*$0,00
*MONTO TOTAL ADEUDADO:*$0,00</v>
      </c>
      <c r="R105" s="3" t="str">
        <f t="shared" si="22"/>
        <v>_Buen día Montenegro Martin! Le paso el saldo pendiente:_
*DETALLE DE CUENTA:*
0 bidones de 12l
0 bidones de 20l
0 sodas
0 jugo
0 envase
0 extra
*TOTAL:*$0,00
*SALDO ANTERIOR:*$0,00
*MONTO TOTAL ADEUDADO:*$0,00</v>
      </c>
      <c r="T105" s="3" t="str">
        <f t="shared" si="34"/>
        <v>_Buen día Montenegro Martin_</v>
      </c>
    </row>
    <row r="106" spans="1:22" s="3" customFormat="1" x14ac:dyDescent="0.35">
      <c r="A106" s="16"/>
      <c r="B106" s="2">
        <v>9</v>
      </c>
      <c r="C106" s="2" t="s">
        <v>97</v>
      </c>
      <c r="D106" s="2">
        <v>3434044057</v>
      </c>
      <c r="E106" s="2" t="str">
        <f t="shared" si="32"/>
        <v>5493434044057</v>
      </c>
      <c r="F106" s="1">
        <v>0</v>
      </c>
      <c r="G106" s="6">
        <f t="shared" si="21"/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1">
        <v>0</v>
      </c>
      <c r="N106" s="1">
        <f t="shared" si="23"/>
        <v>0</v>
      </c>
      <c r="O106" s="1">
        <f t="shared" si="24"/>
        <v>0</v>
      </c>
      <c r="P106" s="3" t="str">
        <f t="shared" si="25"/>
        <v>_Buen día Matias Gonzalez! Le paso el saldo pendiente:_</v>
      </c>
      <c r="Q106" s="3" t="str">
        <f t="shared" si="26"/>
        <v>*DETALLE DE CUENTA:*
0 bidones de 12l
0 bidones de 20l
0 sodas
0 jugo
0 envase
0 extra
*TOTAL:*$0,00
*SALDO ANTERIOR:*$0,00
*MONTO TOTAL ADEUDADO:*$0,00</v>
      </c>
      <c r="R106" s="3" t="str">
        <f t="shared" si="22"/>
        <v>_Buen día Matias Gonzalez! Le paso el saldo pendiente:_
*DETALLE DE CUENTA:*
0 bidones de 12l
0 bidones de 20l
0 sodas
0 jugo
0 envase
0 extra
*TOTAL:*$0,00
*SALDO ANTERIOR:*$0,00
*MONTO TOTAL ADEUDADO:*$0,00</v>
      </c>
      <c r="T106" s="3" t="str">
        <f t="shared" si="34"/>
        <v>_Buen día Matias Gonzalez_</v>
      </c>
      <c r="U106" s="3" t="s">
        <v>54</v>
      </c>
      <c r="V106" s="3" t="str">
        <f t="shared" ref="V106:V116" si="36">CONCATENATE(T106,U106)</f>
        <v>_Buen día Matias Gonzalez_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07" spans="1:22" s="3" customFormat="1" x14ac:dyDescent="0.35">
      <c r="A107" s="16"/>
      <c r="B107" s="2">
        <v>10</v>
      </c>
      <c r="C107" s="2" t="s">
        <v>98</v>
      </c>
      <c r="D107" s="2">
        <v>3435252788</v>
      </c>
      <c r="E107" s="2" t="str">
        <f t="shared" si="32"/>
        <v>5493435252788</v>
      </c>
      <c r="F107" s="1">
        <v>0</v>
      </c>
      <c r="G107" s="6">
        <f t="shared" si="21"/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1">
        <v>0</v>
      </c>
      <c r="N107" s="1">
        <f t="shared" si="23"/>
        <v>0</v>
      </c>
      <c r="O107" s="1">
        <f t="shared" si="24"/>
        <v>0</v>
      </c>
      <c r="P107" s="3" t="str">
        <f t="shared" si="25"/>
        <v>_Buen día Yolanda Gonzalez! Le paso el saldo pendiente:_</v>
      </c>
      <c r="Q107" s="3" t="str">
        <f t="shared" si="26"/>
        <v>*DETALLE DE CUENTA:*
0 bidones de 12l
0 bidones de 20l
0 sodas
0 jugo
0 envase
0 extra
*TOTAL:*$0,00
*SALDO ANTERIOR:*$0,00
*MONTO TOTAL ADEUDADO:*$0,00</v>
      </c>
      <c r="R107" s="3" t="str">
        <f t="shared" si="22"/>
        <v>_Buen día Yolanda Gonzalez! Le paso el saldo pendiente:_
*DETALLE DE CUENTA:*
0 bidones de 12l
0 bidones de 20l
0 sodas
0 jugo
0 envase
0 extra
*TOTAL:*$0,00
*SALDO ANTERIOR:*$0,00
*MONTO TOTAL ADEUDADO:*$0,00</v>
      </c>
      <c r="T107" s="3" t="str">
        <f t="shared" si="34"/>
        <v>_Buen día Yolanda Gonzalez_</v>
      </c>
      <c r="U107" s="3" t="s">
        <v>54</v>
      </c>
      <c r="V107" s="3" t="str">
        <f t="shared" si="36"/>
        <v>_Buen día Yolanda Gonzalez_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08" spans="1:22" s="3" customFormat="1" x14ac:dyDescent="0.35">
      <c r="A108" s="16"/>
      <c r="B108" s="2">
        <v>11</v>
      </c>
      <c r="C108" s="2" t="s">
        <v>99</v>
      </c>
      <c r="D108" s="2">
        <v>3434516258</v>
      </c>
      <c r="E108" s="2" t="str">
        <f t="shared" si="32"/>
        <v>5493434516258</v>
      </c>
      <c r="F108" s="1">
        <v>0</v>
      </c>
      <c r="G108" s="6">
        <f t="shared" si="21"/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1">
        <v>0</v>
      </c>
      <c r="N108" s="1">
        <f t="shared" si="23"/>
        <v>0</v>
      </c>
      <c r="O108" s="1">
        <f t="shared" si="24"/>
        <v>0</v>
      </c>
      <c r="P108" s="3" t="str">
        <f t="shared" si="25"/>
        <v>_Buen día Marcelo Durante! Le paso el saldo pendiente:_</v>
      </c>
      <c r="Q108" s="3" t="str">
        <f t="shared" si="26"/>
        <v>*DETALLE DE CUENTA:*
0 bidones de 12l
0 bidones de 20l
0 sodas
0 jugo
0 envase
0 extra
*TOTAL:*$0,00
*SALDO ANTERIOR:*$0,00
*MONTO TOTAL ADEUDADO:*$0,00</v>
      </c>
      <c r="R108" s="3" t="str">
        <f t="shared" si="22"/>
        <v>_Buen día Marcelo Durante! Le paso el saldo pendiente:_
*DETALLE DE CUENTA:*
0 bidones de 12l
0 bidones de 20l
0 sodas
0 jugo
0 envase
0 extra
*TOTAL:*$0,00
*SALDO ANTERIOR:*$0,00
*MONTO TOTAL ADEUDADO:*$0,00</v>
      </c>
      <c r="T108" s="3" t="str">
        <f t="shared" si="34"/>
        <v>_Buen día Marcelo Durante_</v>
      </c>
      <c r="U108" s="3" t="s">
        <v>54</v>
      </c>
      <c r="V108" s="3" t="str">
        <f t="shared" si="36"/>
        <v>_Buen día Marcelo Durante_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09" spans="1:22" s="9" customFormat="1" x14ac:dyDescent="0.35">
      <c r="A109" s="16"/>
      <c r="B109" s="2">
        <v>12</v>
      </c>
      <c r="C109" s="8" t="s">
        <v>118</v>
      </c>
      <c r="D109" s="8">
        <v>3435088729</v>
      </c>
      <c r="E109" s="8" t="str">
        <f t="shared" si="32"/>
        <v>5493435088729</v>
      </c>
      <c r="F109" s="1">
        <v>0</v>
      </c>
      <c r="G109" s="6">
        <f t="shared" si="21"/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1">
        <v>0</v>
      </c>
      <c r="N109" s="1">
        <f t="shared" si="23"/>
        <v>0</v>
      </c>
      <c r="O109" s="1">
        <f t="shared" si="24"/>
        <v>0</v>
      </c>
      <c r="P109" s="3" t="str">
        <f t="shared" si="25"/>
        <v>_Buen día Carla Durante! Le paso el saldo pendiente:_</v>
      </c>
      <c r="Q109" s="3" t="str">
        <f t="shared" si="26"/>
        <v>*DETALLE DE CUENTA:*
0 bidones de 12l
0 bidones de 20l
0 sodas
0 jugo
0 envase
0 extra
*TOTAL:*$0,00
*SALDO ANTERIOR:*$0,00
*MONTO TOTAL ADEUDADO:*$0,00</v>
      </c>
      <c r="R109" s="3" t="str">
        <f t="shared" si="22"/>
        <v>_Buen día Carla Durante! Le paso el saldo pendiente:_
*DETALLE DE CUENTA:*
0 bidones de 12l
0 bidones de 20l
0 sodas
0 jugo
0 envase
0 extra
*TOTAL:*$0,00
*SALDO ANTERIOR:*$0,00
*MONTO TOTAL ADEUDADO:*$0,00</v>
      </c>
      <c r="S109" s="9" t="s">
        <v>54</v>
      </c>
      <c r="T109" s="9" t="str">
        <f t="shared" ref="T109" si="37">CONCATENATE(R109,S109)</f>
        <v>_Buen día Carla Durante! Le paso el saldo pendiente:_
*DETALLE DE CUENTA:*
0 bidones de 12l
0 bidones de 20l
0 sodas
0 jugo
0 envase
0 extra
*TOTAL:*$0,00
*SALDO ANTERIOR:*$0,00
*MONTO TOTAL ADEUDADO:*$0,00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10" spans="1:22" s="3" customFormat="1" x14ac:dyDescent="0.35">
      <c r="A110" s="16"/>
      <c r="B110" s="2">
        <v>13</v>
      </c>
      <c r="C110" s="2" t="s">
        <v>100</v>
      </c>
      <c r="D110" s="2">
        <v>3434168597</v>
      </c>
      <c r="E110" s="2" t="str">
        <f t="shared" si="32"/>
        <v>5493434168597</v>
      </c>
      <c r="F110" s="1">
        <v>0</v>
      </c>
      <c r="G110" s="6">
        <f t="shared" si="21"/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1">
        <v>0</v>
      </c>
      <c r="N110" s="1">
        <f t="shared" si="23"/>
        <v>0</v>
      </c>
      <c r="O110" s="1">
        <f t="shared" si="24"/>
        <v>0</v>
      </c>
      <c r="P110" s="3" t="str">
        <f t="shared" si="25"/>
        <v>_Buen día Abasto Viviana! Le paso el saldo pendiente:_</v>
      </c>
      <c r="Q110" s="3" t="str">
        <f t="shared" si="26"/>
        <v>*DETALLE DE CUENTA:*
0 bidones de 12l
0 bidones de 20l
0 sodas
0 jugo
0 envase
0 extra
*TOTAL:*$0,00
*SALDO ANTERIOR:*$0,00
*MONTO TOTAL ADEUDADO:*$0,00</v>
      </c>
      <c r="R110" s="3" t="str">
        <f t="shared" si="22"/>
        <v>_Buen día Abasto Viviana! Le paso el saldo pendiente:_
*DETALLE DE CUENTA:*
0 bidones de 12l
0 bidones de 20l
0 sodas
0 jugo
0 envase
0 extra
*TOTAL:*$0,00
*SALDO ANTERIOR:*$0,00
*MONTO TOTAL ADEUDADO:*$0,00</v>
      </c>
      <c r="T110" s="3" t="str">
        <f t="shared" ref="T110:T124" si="38">CONCATENATE("_Buen día ",C110,"_")</f>
        <v>_Buen día Abasto Viviana_</v>
      </c>
      <c r="U110" s="3" t="s">
        <v>54</v>
      </c>
      <c r="V110" s="3" t="str">
        <f t="shared" si="36"/>
        <v>_Buen día Abasto Viviana_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11" spans="1:22" s="3" customFormat="1" x14ac:dyDescent="0.35">
      <c r="A111" s="16"/>
      <c r="B111" s="2">
        <v>14</v>
      </c>
      <c r="C111" s="2" t="s">
        <v>101</v>
      </c>
      <c r="D111" s="2">
        <v>3434620234</v>
      </c>
      <c r="E111" s="2" t="str">
        <f t="shared" si="32"/>
        <v>5493434620234</v>
      </c>
      <c r="F111" s="1">
        <v>0</v>
      </c>
      <c r="G111" s="6">
        <f t="shared" si="21"/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1">
        <v>0</v>
      </c>
      <c r="N111" s="1">
        <f t="shared" si="23"/>
        <v>0</v>
      </c>
      <c r="O111" s="1">
        <f t="shared" si="24"/>
        <v>0</v>
      </c>
      <c r="P111" s="3" t="str">
        <f t="shared" si="25"/>
        <v>_Buen día Lorena comas! Le paso el saldo pendiente:_</v>
      </c>
      <c r="Q111" s="3" t="str">
        <f t="shared" si="26"/>
        <v>*DETALLE DE CUENTA:*
0 bidones de 12l
0 bidones de 20l
0 sodas
0 jugo
0 envase
0 extra
*TOTAL:*$0,00
*SALDO ANTERIOR:*$0,00
*MONTO TOTAL ADEUDADO:*$0,00</v>
      </c>
      <c r="R111" s="3" t="str">
        <f t="shared" si="22"/>
        <v>_Buen día Lorena comas! Le paso el saldo pendiente:_
*DETALLE DE CUENTA:*
0 bidones de 12l
0 bidones de 20l
0 sodas
0 jugo
0 envase
0 extra
*TOTAL:*$0,00
*SALDO ANTERIOR:*$0,00
*MONTO TOTAL ADEUDADO:*$0,00</v>
      </c>
      <c r="T111" s="3" t="str">
        <f t="shared" si="38"/>
        <v>_Buen día Lorena comas_</v>
      </c>
      <c r="U111" s="3" t="s">
        <v>54</v>
      </c>
      <c r="V111" s="3" t="str">
        <f t="shared" si="36"/>
        <v>_Buen día Lorena comas_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12" spans="1:22" s="3" customFormat="1" x14ac:dyDescent="0.35">
      <c r="A112" s="16"/>
      <c r="B112" s="2">
        <v>15</v>
      </c>
      <c r="C112" s="2" t="s">
        <v>137</v>
      </c>
      <c r="D112" s="2">
        <v>3436051080</v>
      </c>
      <c r="E112" s="2" t="str">
        <f t="shared" si="32"/>
        <v>5493436051080</v>
      </c>
      <c r="F112" s="1">
        <v>0</v>
      </c>
      <c r="G112" s="6">
        <f t="shared" si="21"/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1">
        <v>0</v>
      </c>
      <c r="N112" s="1">
        <f t="shared" si="23"/>
        <v>0</v>
      </c>
      <c r="O112" s="1">
        <f t="shared" si="24"/>
        <v>0</v>
      </c>
      <c r="P112" s="3" t="str">
        <f t="shared" si="25"/>
        <v>_Buen día Mabel Saiz! Le paso el saldo pendiente:_</v>
      </c>
      <c r="Q112" s="3" t="str">
        <f t="shared" si="26"/>
        <v>*DETALLE DE CUENTA:*
0 bidones de 12l
0 bidones de 20l
0 sodas
0 jugo
0 envase
0 extra
*TOTAL:*$0,00
*SALDO ANTERIOR:*$0,00
*MONTO TOTAL ADEUDADO:*$0,00</v>
      </c>
      <c r="R112" s="3" t="str">
        <f t="shared" si="22"/>
        <v>_Buen día Mabel Saiz! Le paso el saldo pendiente:_
*DETALLE DE CUENTA:*
0 bidones de 12l
0 bidones de 20l
0 sodas
0 jugo
0 envase
0 extra
*TOTAL:*$0,00
*SALDO ANTERIOR:*$0,00
*MONTO TOTAL ADEUDADO:*$0,00</v>
      </c>
      <c r="T112" s="3" t="str">
        <f t="shared" si="38"/>
        <v>_Buen día Mabel Saiz_</v>
      </c>
    </row>
    <row r="113" spans="1:22" s="3" customFormat="1" x14ac:dyDescent="0.35">
      <c r="A113" s="16"/>
      <c r="B113" s="2">
        <v>16</v>
      </c>
      <c r="C113" s="2" t="s">
        <v>94</v>
      </c>
      <c r="D113" s="2">
        <v>3435449287</v>
      </c>
      <c r="E113" s="2" t="str">
        <f t="shared" si="32"/>
        <v>5493435449287</v>
      </c>
      <c r="F113" s="1">
        <v>0</v>
      </c>
      <c r="G113" s="6">
        <f t="shared" si="21"/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1">
        <v>0</v>
      </c>
      <c r="N113" s="1">
        <f t="shared" si="23"/>
        <v>0</v>
      </c>
      <c r="O113" s="1">
        <f t="shared" si="24"/>
        <v>0</v>
      </c>
      <c r="P113" s="3" t="str">
        <f t="shared" si="25"/>
        <v>_Buen día Camila Johana Ruff! Le paso el saldo pendiente:_</v>
      </c>
      <c r="Q113" s="3" t="str">
        <f t="shared" si="26"/>
        <v>*DETALLE DE CUENTA:*
0 bidones de 12l
0 bidones de 20l
0 sodas
0 jugo
0 envase
0 extra
*TOTAL:*$0,00
*SALDO ANTERIOR:*$0,00
*MONTO TOTAL ADEUDADO:*$0,00</v>
      </c>
      <c r="R113" s="3" t="str">
        <f t="shared" si="22"/>
        <v>_Buen día Camila Johana Ruff! Le paso el saldo pendiente:_
*DETALLE DE CUENTA:*
0 bidones de 12l
0 bidones de 20l
0 sodas
0 jugo
0 envase
0 extra
*TOTAL:*$0,00
*SALDO ANTERIOR:*$0,00
*MONTO TOTAL ADEUDADO:*$0,00</v>
      </c>
      <c r="T113" s="3" t="str">
        <f t="shared" si="38"/>
        <v>_Buen día Camila Johana Ruff_</v>
      </c>
      <c r="U113" s="3" t="s">
        <v>54</v>
      </c>
      <c r="V113" s="3" t="str">
        <f t="shared" si="36"/>
        <v>_Buen día Camila Johana Ruff_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14" spans="1:22" s="3" customFormat="1" x14ac:dyDescent="0.35">
      <c r="A114" s="16"/>
      <c r="B114" s="2">
        <v>17</v>
      </c>
      <c r="C114" s="2" t="s">
        <v>102</v>
      </c>
      <c r="D114" s="2">
        <v>3434805554</v>
      </c>
      <c r="E114" s="2" t="str">
        <f t="shared" si="32"/>
        <v>5493434805554</v>
      </c>
      <c r="F114" s="1">
        <v>0</v>
      </c>
      <c r="G114" s="6">
        <f t="shared" si="21"/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1">
        <v>0</v>
      </c>
      <c r="N114" s="1">
        <f t="shared" si="23"/>
        <v>0</v>
      </c>
      <c r="O114" s="1">
        <f t="shared" si="24"/>
        <v>0</v>
      </c>
      <c r="P114" s="3" t="str">
        <f t="shared" si="25"/>
        <v>_Buen día Rocio Berenice Gonzalez! Le paso el saldo pendiente:_</v>
      </c>
      <c r="Q114" s="3" t="str">
        <f t="shared" si="26"/>
        <v>*DETALLE DE CUENTA:*
0 bidones de 12l
0 bidones de 20l
0 sodas
0 jugo
0 envase
0 extra
*TOTAL:*$0,00
*SALDO ANTERIOR:*$0,00
*MONTO TOTAL ADEUDADO:*$0,00</v>
      </c>
      <c r="R114" s="3" t="str">
        <f t="shared" si="22"/>
        <v>_Buen día Rocio Berenice Gonzalez! Le paso el saldo pendiente:_
*DETALLE DE CUENTA:*
0 bidones de 12l
0 bidones de 20l
0 sodas
0 jugo
0 envase
0 extra
*TOTAL:*$0,00
*SALDO ANTERIOR:*$0,00
*MONTO TOTAL ADEUDADO:*$0,00</v>
      </c>
      <c r="T114" s="3" t="str">
        <f t="shared" si="38"/>
        <v>_Buen día Rocio Berenice Gonzalez_</v>
      </c>
      <c r="U114" s="3" t="s">
        <v>54</v>
      </c>
      <c r="V114" s="3" t="str">
        <f t="shared" si="36"/>
        <v>_Buen día Rocio Berenice Gonzalez_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15" spans="1:22" s="3" customFormat="1" x14ac:dyDescent="0.35">
      <c r="A115" s="16"/>
      <c r="B115" s="2">
        <v>18</v>
      </c>
      <c r="C115" s="2" t="s">
        <v>121</v>
      </c>
      <c r="D115" s="2">
        <v>3434803292</v>
      </c>
      <c r="E115" s="2" t="str">
        <f t="shared" si="32"/>
        <v>5493434803292</v>
      </c>
      <c r="F115" s="1">
        <v>0</v>
      </c>
      <c r="G115" s="6">
        <f t="shared" si="21"/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1">
        <v>0</v>
      </c>
      <c r="N115" s="1">
        <f t="shared" si="23"/>
        <v>0</v>
      </c>
      <c r="O115" s="1">
        <f t="shared" si="24"/>
        <v>0</v>
      </c>
      <c r="P115" s="3" t="str">
        <f t="shared" si="25"/>
        <v>_Buen día Ada Francisca Cornejo! Le paso el saldo pendiente:_</v>
      </c>
      <c r="Q115" s="3" t="str">
        <f t="shared" si="26"/>
        <v>*DETALLE DE CUENTA:*
0 bidones de 12l
0 bidones de 20l
0 sodas
0 jugo
0 envase
0 extra
*TOTAL:*$0,00
*SALDO ANTERIOR:*$0,00
*MONTO TOTAL ADEUDADO:*$0,00</v>
      </c>
      <c r="R115" s="3" t="str">
        <f t="shared" si="22"/>
        <v>_Buen día Ada Francisca Cornejo! Le paso el saldo pendiente:_
*DETALLE DE CUENTA:*
0 bidones de 12l
0 bidones de 20l
0 sodas
0 jugo
0 envase
0 extra
*TOTAL:*$0,00
*SALDO ANTERIOR:*$0,00
*MONTO TOTAL ADEUDADO:*$0,00</v>
      </c>
      <c r="T115" s="3" t="str">
        <f t="shared" si="38"/>
        <v>_Buen día Ada Francisca Cornejo_</v>
      </c>
    </row>
    <row r="116" spans="1:22" s="3" customFormat="1" x14ac:dyDescent="0.35">
      <c r="A116" s="16"/>
      <c r="B116" s="2">
        <v>19</v>
      </c>
      <c r="C116" s="2" t="s">
        <v>103</v>
      </c>
      <c r="D116" s="2">
        <v>3435060246</v>
      </c>
      <c r="E116" s="2" t="str">
        <f t="shared" si="32"/>
        <v>5493435060246</v>
      </c>
      <c r="F116" s="1">
        <v>0</v>
      </c>
      <c r="G116" s="6">
        <f t="shared" si="21"/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1">
        <v>0</v>
      </c>
      <c r="N116" s="1">
        <f t="shared" si="23"/>
        <v>0</v>
      </c>
      <c r="O116" s="1">
        <f t="shared" si="24"/>
        <v>0</v>
      </c>
      <c r="P116" s="3" t="str">
        <f t="shared" si="25"/>
        <v>_Buen día MENTASTI CRISTIAN! Le paso el saldo pendiente:_</v>
      </c>
      <c r="Q116" s="3" t="str">
        <f t="shared" si="26"/>
        <v>*DETALLE DE CUENTA:*
0 bidones de 12l
0 bidones de 20l
0 sodas
0 jugo
0 envase
0 extra
*TOTAL:*$0,00
*SALDO ANTERIOR:*$0,00
*MONTO TOTAL ADEUDADO:*$0,00</v>
      </c>
      <c r="R116" s="3" t="str">
        <f t="shared" si="22"/>
        <v>_Buen día MENTASTI CRISTIAN! Le paso el saldo pendiente:_
*DETALLE DE CUENTA:*
0 bidones de 12l
0 bidones de 20l
0 sodas
0 jugo
0 envase
0 extra
*TOTAL:*$0,00
*SALDO ANTERIOR:*$0,00
*MONTO TOTAL ADEUDADO:*$0,00</v>
      </c>
      <c r="T116" s="3" t="str">
        <f t="shared" si="38"/>
        <v>_Buen día MENTASTI CRISTIAN_</v>
      </c>
      <c r="U116" s="3" t="s">
        <v>54</v>
      </c>
      <c r="V116" s="3" t="str">
        <f t="shared" si="36"/>
        <v>_Buen día MENTASTI CRISTIAN_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17" spans="1:22" s="3" customFormat="1" x14ac:dyDescent="0.35">
      <c r="A117" s="16"/>
      <c r="B117" s="2">
        <v>20</v>
      </c>
      <c r="C117" s="2" t="s">
        <v>138</v>
      </c>
      <c r="D117" s="2">
        <v>3434051713</v>
      </c>
      <c r="E117" s="2" t="str">
        <f t="shared" si="32"/>
        <v>5493434051713</v>
      </c>
      <c r="F117" s="1">
        <v>0</v>
      </c>
      <c r="G117" s="6">
        <f t="shared" si="21"/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1">
        <v>0</v>
      </c>
      <c r="N117" s="1">
        <f t="shared" si="23"/>
        <v>0</v>
      </c>
      <c r="O117" s="1">
        <f t="shared" si="24"/>
        <v>0</v>
      </c>
      <c r="P117" s="3" t="str">
        <f t="shared" si="25"/>
        <v>_Buen día Ricardo Ramon Mernes! Le paso el saldo pendiente:_</v>
      </c>
      <c r="Q117" s="3" t="str">
        <f t="shared" si="26"/>
        <v>*DETALLE DE CUENTA:*
0 bidones de 12l
0 bidones de 20l
0 sodas
0 jugo
0 envase
0 extra
*TOTAL:*$0,00
*SALDO ANTERIOR:*$0,00
*MONTO TOTAL ADEUDADO:*$0,00</v>
      </c>
      <c r="R117" s="3" t="str">
        <f t="shared" si="22"/>
        <v>_Buen día Ricardo Ramon Mernes! Le paso el saldo pendiente:_
*DETALLE DE CUENTA:*
0 bidones de 12l
0 bidones de 20l
0 sodas
0 jugo
0 envase
0 extra
*TOTAL:*$0,00
*SALDO ANTERIOR:*$0,00
*MONTO TOTAL ADEUDADO:*$0,00</v>
      </c>
      <c r="T117" s="3" t="str">
        <f t="shared" si="38"/>
        <v>_Buen día Ricardo Ramon Mernes_</v>
      </c>
    </row>
    <row r="118" spans="1:22" s="3" customFormat="1" x14ac:dyDescent="0.35">
      <c r="A118" s="16"/>
      <c r="B118" s="2">
        <v>21</v>
      </c>
      <c r="C118" s="2" t="s">
        <v>104</v>
      </c>
      <c r="D118" s="2">
        <v>3434053792</v>
      </c>
      <c r="E118" s="2" t="str">
        <f t="shared" si="32"/>
        <v>5493434053792</v>
      </c>
      <c r="F118" s="1">
        <v>0</v>
      </c>
      <c r="G118" s="6">
        <f t="shared" si="21"/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1">
        <v>0</v>
      </c>
      <c r="N118" s="1">
        <f t="shared" si="23"/>
        <v>0</v>
      </c>
      <c r="O118" s="1">
        <f t="shared" si="24"/>
        <v>0</v>
      </c>
      <c r="P118" s="3" t="str">
        <f t="shared" si="25"/>
        <v>_Buen día Eliseo Gándola! Le paso el saldo pendiente:_</v>
      </c>
      <c r="Q118" s="3" t="str">
        <f t="shared" si="26"/>
        <v>*DETALLE DE CUENTA:*
0 bidones de 12l
0 bidones de 20l
0 sodas
0 jugo
0 envase
0 extra
*TOTAL:*$0,00
*SALDO ANTERIOR:*$0,00
*MONTO TOTAL ADEUDADO:*$0,00</v>
      </c>
      <c r="R118" s="3" t="str">
        <f t="shared" si="22"/>
        <v>_Buen día Eliseo Gándola! Le paso el saldo pendiente:_
*DETALLE DE CUENTA:*
0 bidones de 12l
0 bidones de 20l
0 sodas
0 jugo
0 envase
0 extra
*TOTAL:*$0,00
*SALDO ANTERIOR:*$0,00
*MONTO TOTAL ADEUDADO:*$0,00</v>
      </c>
      <c r="T118" s="3" t="str">
        <f t="shared" si="38"/>
        <v>_Buen día Eliseo Gándola_</v>
      </c>
      <c r="U118" s="3" t="s">
        <v>54</v>
      </c>
      <c r="V118" s="3" t="str">
        <f t="shared" ref="V118:V120" si="39">CONCATENATE(T118,U118)</f>
        <v>_Buen día Eliseo Gándola_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19" spans="1:22" s="3" customFormat="1" x14ac:dyDescent="0.35">
      <c r="A119" s="16"/>
      <c r="B119" s="2">
        <v>22</v>
      </c>
      <c r="C119" s="2" t="s">
        <v>105</v>
      </c>
      <c r="D119" s="2">
        <v>3434716495</v>
      </c>
      <c r="E119" s="2" t="str">
        <f t="shared" si="32"/>
        <v>5493434716495</v>
      </c>
      <c r="F119" s="1">
        <v>0</v>
      </c>
      <c r="G119" s="6">
        <f t="shared" si="21"/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1">
        <v>0</v>
      </c>
      <c r="N119" s="1">
        <f t="shared" si="23"/>
        <v>0</v>
      </c>
      <c r="O119" s="1">
        <f t="shared" si="24"/>
        <v>0</v>
      </c>
      <c r="P119" s="3" t="str">
        <f t="shared" si="25"/>
        <v>_Buen día Alvarado Sandra! Le paso el saldo pendiente:_</v>
      </c>
      <c r="Q119" s="3" t="str">
        <f t="shared" si="26"/>
        <v>*DETALLE DE CUENTA:*
0 bidones de 12l
0 bidones de 20l
0 sodas
0 jugo
0 envase
0 extra
*TOTAL:*$0,00
*SALDO ANTERIOR:*$0,00
*MONTO TOTAL ADEUDADO:*$0,00</v>
      </c>
      <c r="R119" s="3" t="str">
        <f t="shared" si="22"/>
        <v>_Buen día Alvarado Sandra! Le paso el saldo pendiente:_
*DETALLE DE CUENTA:*
0 bidones de 12l
0 bidones de 20l
0 sodas
0 jugo
0 envase
0 extra
*TOTAL:*$0,00
*SALDO ANTERIOR:*$0,00
*MONTO TOTAL ADEUDADO:*$0,00</v>
      </c>
      <c r="T119" s="3" t="str">
        <f t="shared" si="38"/>
        <v>_Buen día Alvarado Sandra_</v>
      </c>
      <c r="U119" s="3" t="s">
        <v>54</v>
      </c>
      <c r="V119" s="3" t="str">
        <f t="shared" si="39"/>
        <v>_Buen día Alvarado Sandra_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20" spans="1:22" s="3" customFormat="1" x14ac:dyDescent="0.35">
      <c r="A120" s="16"/>
      <c r="B120" s="2">
        <v>23</v>
      </c>
      <c r="C120" s="2" t="s">
        <v>139</v>
      </c>
      <c r="D120" s="2">
        <v>3435161346</v>
      </c>
      <c r="E120" s="2" t="str">
        <f t="shared" si="32"/>
        <v>5493435161346</v>
      </c>
      <c r="F120" s="1">
        <v>0</v>
      </c>
      <c r="G120" s="6">
        <f t="shared" si="21"/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1">
        <v>0</v>
      </c>
      <c r="N120" s="1">
        <f t="shared" si="23"/>
        <v>0</v>
      </c>
      <c r="O120" s="1">
        <f t="shared" si="24"/>
        <v>0</v>
      </c>
      <c r="P120" s="3" t="str">
        <f t="shared" si="25"/>
        <v>_Buen día Osorio Esther! Le paso el saldo pendiente:_</v>
      </c>
      <c r="Q120" s="3" t="str">
        <f t="shared" si="26"/>
        <v>*DETALLE DE CUENTA:*
0 bidones de 12l
0 bidones de 20l
0 sodas
0 jugo
0 envase
0 extra
*TOTAL:*$0,00
*SALDO ANTERIOR:*$0,00
*MONTO TOTAL ADEUDADO:*$0,00</v>
      </c>
      <c r="R120" s="3" t="str">
        <f t="shared" si="22"/>
        <v>_Buen día Osorio Esther! Le paso el saldo pendiente:_
*DETALLE DE CUENTA:*
0 bidones de 12l
0 bidones de 20l
0 sodas
0 jugo
0 envase
0 extra
*TOTAL:*$0,00
*SALDO ANTERIOR:*$0,00
*MONTO TOTAL ADEUDADO:*$0,00</v>
      </c>
      <c r="T120" s="3" t="str">
        <f t="shared" si="38"/>
        <v>_Buen día Osorio Esther_</v>
      </c>
      <c r="U120" s="3" t="s">
        <v>54</v>
      </c>
      <c r="V120" s="3" t="str">
        <f t="shared" si="39"/>
        <v>_Buen día Osorio Esther_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21" spans="1:22" x14ac:dyDescent="0.35">
      <c r="A121" s="16"/>
      <c r="B121" s="2">
        <v>24</v>
      </c>
      <c r="C121" s="2" t="s">
        <v>140</v>
      </c>
      <c r="D121" s="2">
        <v>3435364137</v>
      </c>
      <c r="E121" s="2" t="str">
        <f t="shared" si="32"/>
        <v>5493435364137</v>
      </c>
      <c r="F121" s="1">
        <v>0</v>
      </c>
      <c r="G121" s="6">
        <f t="shared" si="21"/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1">
        <v>0</v>
      </c>
      <c r="N121" s="1">
        <f t="shared" si="23"/>
        <v>0</v>
      </c>
      <c r="O121" s="1">
        <f t="shared" si="24"/>
        <v>0</v>
      </c>
      <c r="P121" s="3" t="str">
        <f t="shared" si="25"/>
        <v>_Buen día Fontana Jorge! Le paso el saldo pendiente:_</v>
      </c>
      <c r="Q121" s="3" t="str">
        <f t="shared" si="26"/>
        <v>*DETALLE DE CUENTA:*
0 bidones de 12l
0 bidones de 20l
0 sodas
0 jugo
0 envase
0 extra
*TOTAL:*$0,00
*SALDO ANTERIOR:*$0,00
*MONTO TOTAL ADEUDADO:*$0,00</v>
      </c>
      <c r="R121" s="3" t="str">
        <f t="shared" si="22"/>
        <v>_Buen día Fontana Jorge! Le paso el saldo pendiente:_
*DETALLE DE CUENTA:*
0 bidones de 12l
0 bidones de 20l
0 sodas
0 jugo
0 envase
0 extra
*TOTAL:*$0,00
*SALDO ANTERIOR:*$0,00
*MONTO TOTAL ADEUDADO:*$0,00</v>
      </c>
      <c r="T121" s="3" t="str">
        <f t="shared" si="38"/>
        <v>_Buen día Fontana Jorge_</v>
      </c>
    </row>
    <row r="122" spans="1:22" s="3" customFormat="1" x14ac:dyDescent="0.35">
      <c r="A122" s="16"/>
      <c r="B122" s="2">
        <v>25</v>
      </c>
      <c r="C122" s="2" t="s">
        <v>106</v>
      </c>
      <c r="D122" s="2">
        <v>3435116489</v>
      </c>
      <c r="E122" s="2" t="str">
        <f t="shared" si="32"/>
        <v>5493435116489</v>
      </c>
      <c r="F122" s="1">
        <v>0</v>
      </c>
      <c r="G122" s="6">
        <f t="shared" si="21"/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1">
        <v>0</v>
      </c>
      <c r="N122" s="1">
        <f t="shared" si="23"/>
        <v>0</v>
      </c>
      <c r="O122" s="1">
        <f t="shared" si="24"/>
        <v>0</v>
      </c>
      <c r="P122" s="3" t="str">
        <f t="shared" si="25"/>
        <v>_Buen día Millen Mariza! Le paso el saldo pendiente:_</v>
      </c>
      <c r="Q122" s="3" t="str">
        <f t="shared" si="26"/>
        <v>*DETALLE DE CUENTA:*
0 bidones de 12l
0 bidones de 20l
0 sodas
0 jugo
0 envase
0 extra
*TOTAL:*$0,00
*SALDO ANTERIOR:*$0,00
*MONTO TOTAL ADEUDADO:*$0,00</v>
      </c>
      <c r="R122" s="3" t="str">
        <f t="shared" si="22"/>
        <v>_Buen día Millen Mariza! Le paso el saldo pendiente:_
*DETALLE DE CUENTA:*
0 bidones de 12l
0 bidones de 20l
0 sodas
0 jugo
0 envase
0 extra
*TOTAL:*$0,00
*SALDO ANTERIOR:*$0,00
*MONTO TOTAL ADEUDADO:*$0,00</v>
      </c>
      <c r="T122" s="3" t="str">
        <f t="shared" si="38"/>
        <v>_Buen día Millen Mariza_</v>
      </c>
      <c r="U122" s="3" t="s">
        <v>54</v>
      </c>
      <c r="V122" s="3" t="str">
        <f t="shared" ref="V122:V124" si="40">CONCATENATE(T122,U122)</f>
        <v>_Buen día Millen Mariza_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23" spans="1:22" s="3" customFormat="1" x14ac:dyDescent="0.35">
      <c r="A123" s="16"/>
      <c r="B123" s="2">
        <v>26</v>
      </c>
      <c r="C123" s="2" t="s">
        <v>107</v>
      </c>
      <c r="D123" s="2">
        <v>3434542467</v>
      </c>
      <c r="E123" s="2" t="str">
        <f t="shared" si="32"/>
        <v>5493434542467</v>
      </c>
      <c r="F123" s="1">
        <v>0</v>
      </c>
      <c r="G123" s="6">
        <f t="shared" si="21"/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1">
        <v>0</v>
      </c>
      <c r="N123" s="1">
        <f t="shared" si="23"/>
        <v>0</v>
      </c>
      <c r="O123" s="1">
        <f t="shared" si="24"/>
        <v>0</v>
      </c>
      <c r="P123" s="3" t="str">
        <f t="shared" si="25"/>
        <v>_Buen día Sandra Noemi Romero! Le paso el saldo pendiente:_</v>
      </c>
      <c r="Q123" s="3" t="str">
        <f t="shared" si="26"/>
        <v>*DETALLE DE CUENTA:*
0 bidones de 12l
0 bidones de 20l
0 sodas
0 jugo
0 envase
0 extra
*TOTAL:*$0,00
*SALDO ANTERIOR:*$0,00
*MONTO TOTAL ADEUDADO:*$0,00</v>
      </c>
      <c r="R123" s="3" t="str">
        <f t="shared" si="22"/>
        <v>_Buen día Sandra Noemi Romero! Le paso el saldo pendiente:_
*DETALLE DE CUENTA:*
0 bidones de 12l
0 bidones de 20l
0 sodas
0 jugo
0 envase
0 extra
*TOTAL:*$0,00
*SALDO ANTERIOR:*$0,00
*MONTO TOTAL ADEUDADO:*$0,00</v>
      </c>
      <c r="T123" s="3" t="str">
        <f t="shared" si="38"/>
        <v>_Buen día Sandra Noemi Romero_</v>
      </c>
      <c r="U123" s="3" t="s">
        <v>54</v>
      </c>
      <c r="V123" s="3" t="str">
        <f t="shared" si="40"/>
        <v>_Buen día Sandra Noemi Romero_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  <row r="124" spans="1:22" s="3" customFormat="1" x14ac:dyDescent="0.35">
      <c r="A124" s="16"/>
      <c r="B124" s="2">
        <v>27</v>
      </c>
      <c r="C124" s="2" t="s">
        <v>108</v>
      </c>
      <c r="D124" s="2">
        <v>3434461449</v>
      </c>
      <c r="E124" s="2" t="str">
        <f t="shared" si="32"/>
        <v>5493434461449</v>
      </c>
      <c r="F124" s="1">
        <v>0</v>
      </c>
      <c r="G124" s="6">
        <f t="shared" si="21"/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1">
        <v>0</v>
      </c>
      <c r="N124" s="1">
        <f t="shared" si="23"/>
        <v>0</v>
      </c>
      <c r="O124" s="1">
        <f t="shared" si="24"/>
        <v>0</v>
      </c>
      <c r="P124" s="3" t="str">
        <f t="shared" si="25"/>
        <v>_Buen día Elina Silvela! Le paso el saldo pendiente:_</v>
      </c>
      <c r="Q124" s="3" t="str">
        <f t="shared" si="26"/>
        <v>*DETALLE DE CUENTA:*
0 bidones de 12l
0 bidones de 20l
0 sodas
0 jugo
0 envase
0 extra
*TOTAL:*$0,00
*SALDO ANTERIOR:*$0,00
*MONTO TOTAL ADEUDADO:*$0,00</v>
      </c>
      <c r="R124" s="3" t="str">
        <f t="shared" si="22"/>
        <v>_Buen día Elina Silvela! Le paso el saldo pendiente:_
*DETALLE DE CUENTA:*
0 bidones de 12l
0 bidones de 20l
0 sodas
0 jugo
0 envase
0 extra
*TOTAL:*$0,00
*SALDO ANTERIOR:*$0,00
*MONTO TOTAL ADEUDADO:*$0,00</v>
      </c>
      <c r="T124" s="3" t="str">
        <f t="shared" si="38"/>
        <v>_Buen día Elina Silvela_</v>
      </c>
      <c r="U124" s="3" t="s">
        <v>54</v>
      </c>
      <c r="V124" s="3" t="str">
        <f t="shared" si="40"/>
        <v>_Buen día Elina Silvela_
Queríamos recordarte que tenés un saldo pendiente a la fecha.
A partir de agosto, todo pago vencido genera un recargo por mora:
➡️ +30 días: 10 %
➡️ +60 días: 20 %
Te invitamos a regularizarlo para evitar cargos adicionales y así poder seguir ofreciéndote un servicio confiable y de calidad 💧🚚.
Muchas gracias por tu atención 🙏</v>
      </c>
    </row>
  </sheetData>
  <mergeCells count="4">
    <mergeCell ref="A2:A49"/>
    <mergeCell ref="A50:A81"/>
    <mergeCell ref="A82:A97"/>
    <mergeCell ref="A98:A1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Cepeda</dc:creator>
  <cp:lastModifiedBy>Agustina Cepeda</cp:lastModifiedBy>
  <dcterms:created xsi:type="dcterms:W3CDTF">2025-08-31T00:56:07Z</dcterms:created>
  <dcterms:modified xsi:type="dcterms:W3CDTF">2026-04-18T14:26:15Z</dcterms:modified>
</cp:coreProperties>
</file>